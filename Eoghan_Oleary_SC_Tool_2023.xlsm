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llege\5th Year\Supply Chain 5MM3\Supply Chain Assignment\Eoghan_Oleary_SC_Assignment_2023\"/>
    </mc:Choice>
  </mc:AlternateContent>
  <xr:revisionPtr revIDLastSave="0" documentId="13_ncr:1_{5A4260AE-FDA9-4C88-B9D2-74E64786085B}" xr6:coauthVersionLast="47" xr6:coauthVersionMax="47" xr10:uidLastSave="{00000000-0000-0000-0000-000000000000}"/>
  <bookViews>
    <workbookView xWindow="-120" yWindow="-120" windowWidth="29040" windowHeight="15720" activeTab="1" xr2:uid="{90F55BC3-C585-4547-9118-F1B8215BD091}"/>
  </bookViews>
  <sheets>
    <sheet name="Hub" sheetId="1" r:id="rId1"/>
    <sheet name="Inbound Logistics" sheetId="2" r:id="rId2"/>
    <sheet name="Operations" sheetId="3" r:id="rId3"/>
    <sheet name="Outbound Logistics" sheetId="4" r:id="rId4"/>
    <sheet name="Marketing &amp; Sales" sheetId="5" r:id="rId5"/>
    <sheet name="Service" sheetId="6" r:id="rId6"/>
    <sheet name="KPI's" sheetId="7" r:id="rId7"/>
    <sheet name="Readme" sheetId="8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9" i="1" l="1"/>
  <c r="X29" i="1"/>
  <c r="W29" i="1"/>
  <c r="V29" i="1"/>
  <c r="U29" i="1"/>
  <c r="T29" i="1"/>
  <c r="S29" i="1"/>
  <c r="Y27" i="1"/>
  <c r="X27" i="1"/>
  <c r="W27" i="1"/>
  <c r="V27" i="1"/>
  <c r="U27" i="1"/>
  <c r="T27" i="1"/>
  <c r="S27" i="1"/>
  <c r="Y25" i="1"/>
  <c r="X25" i="1"/>
  <c r="W25" i="1"/>
  <c r="V25" i="1"/>
  <c r="U25" i="1"/>
  <c r="T25" i="1"/>
  <c r="S25" i="1"/>
  <c r="Y23" i="1"/>
  <c r="X23" i="1"/>
  <c r="W23" i="1"/>
  <c r="V23" i="1"/>
  <c r="V31" i="1" s="1"/>
  <c r="U23" i="1"/>
  <c r="U31" i="1" s="1"/>
  <c r="T23" i="1"/>
  <c r="T31" i="1" s="1"/>
  <c r="S23" i="1"/>
  <c r="S31" i="1" s="1"/>
  <c r="Y21" i="1"/>
  <c r="Y31" i="1" s="1"/>
  <c r="X21" i="1"/>
  <c r="X31" i="1" s="1"/>
  <c r="W21" i="1"/>
  <c r="W31" i="1" s="1"/>
  <c r="V21" i="1"/>
  <c r="U21" i="1"/>
  <c r="T21" i="1"/>
  <c r="S21" i="1"/>
  <c r="U17" i="1"/>
  <c r="T17" i="1"/>
  <c r="Y15" i="1"/>
  <c r="X15" i="1"/>
  <c r="W15" i="1"/>
  <c r="V15" i="1"/>
  <c r="U15" i="1"/>
  <c r="T15" i="1"/>
  <c r="S15" i="1"/>
  <c r="Y13" i="1"/>
  <c r="X13" i="1"/>
  <c r="W13" i="1"/>
  <c r="W17" i="1" s="1"/>
  <c r="V13" i="1"/>
  <c r="V17" i="1" s="1"/>
  <c r="U13" i="1"/>
  <c r="T13" i="1"/>
  <c r="S13" i="1"/>
  <c r="Y11" i="1"/>
  <c r="X11" i="1"/>
  <c r="W11" i="1"/>
  <c r="V11" i="1"/>
  <c r="U11" i="1"/>
  <c r="T11" i="1"/>
  <c r="S11" i="1"/>
  <c r="Y9" i="1"/>
  <c r="Y17" i="1" s="1"/>
  <c r="X9" i="1"/>
  <c r="X17" i="1" s="1"/>
  <c r="W9" i="1"/>
  <c r="V9" i="1"/>
  <c r="U9" i="1"/>
  <c r="T9" i="1"/>
  <c r="S9" i="1"/>
  <c r="S17" i="1" s="1"/>
  <c r="Y7" i="1"/>
  <c r="X7" i="1"/>
  <c r="W7" i="1"/>
  <c r="V7" i="1"/>
  <c r="U7" i="1"/>
  <c r="T7" i="1"/>
  <c r="S7" i="1"/>
  <c r="E7" i="2"/>
  <c r="D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tc={D5226BB2-0ADC-4C79-8EE6-B3D2FA7F1D1D}</author>
    <author>tc={26FA5F5A-3D91-4FBD-8D50-30BF2ABC4AE5}</author>
    <author>tc={78BDF13A-8D10-4934-B99E-D77583BBAB2E}</author>
    <author>tc={49964F6A-1A84-48AE-81BF-F0DFE4842429}</author>
  </authors>
  <commentList>
    <comment ref="Y5" authorId="0" shapeId="0" xr:uid="{D5226BB2-0ADC-4C79-8EE6-B3D2FA7F1D1D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of Support Scores and KPIs</t>
      </text>
    </comment>
    <comment ref="R17" authorId="1" shapeId="0" xr:uid="{26FA5F5A-3D91-4FBD-8D50-30BF2ABC4AE5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of support scores for each support activity</t>
      </text>
    </comment>
    <comment ref="Y19" authorId="2" shapeId="0" xr:uid="{78BDF13A-8D10-4934-B99E-D77583BBAB2E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of Support Scores and KPIs</t>
      </text>
    </comment>
    <comment ref="R31" authorId="3" shapeId="0" xr:uid="{49964F6A-1A84-48AE-81BF-F0DFE4842429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of support scores for each support activity</t>
      </text>
    </comment>
  </commentList>
</comments>
</file>

<file path=xl/sharedStrings.xml><?xml version="1.0" encoding="utf-8"?>
<sst xmlns="http://schemas.openxmlformats.org/spreadsheetml/2006/main" count="188" uniqueCount="91">
  <si>
    <t>Redesigned Porter's Value Chain</t>
  </si>
  <si>
    <t>PRIMARY
ACTIVITIES</t>
  </si>
  <si>
    <t>SUPPORT SCORE</t>
  </si>
  <si>
    <t>Infrastructure</t>
  </si>
  <si>
    <t>Human Resources</t>
  </si>
  <si>
    <t>Tech Development</t>
  </si>
  <si>
    <t>Procurement</t>
  </si>
  <si>
    <t>Sustainability &amp; Ethics</t>
  </si>
  <si>
    <t>Digitisation &amp; AI</t>
  </si>
  <si>
    <t>Firm Infrastructure</t>
  </si>
  <si>
    <t>Inbound
Logistics</t>
  </si>
  <si>
    <t>Human Resources Management</t>
  </si>
  <si>
    <t>Operations</t>
  </si>
  <si>
    <t>Technology Development</t>
  </si>
  <si>
    <t>Outbound
Logistics</t>
  </si>
  <si>
    <t>Marketing
&amp; Sales</t>
  </si>
  <si>
    <t>Sustainability and Ethics</t>
  </si>
  <si>
    <t>Service</t>
  </si>
  <si>
    <t>Digitisation and AI</t>
  </si>
  <si>
    <t xml:space="preserve">Operations
</t>
  </si>
  <si>
    <t>Outbound 
Logistics</t>
  </si>
  <si>
    <t>Marketing &amp;
 Sales</t>
  </si>
  <si>
    <t xml:space="preserve">Service
</t>
  </si>
  <si>
    <t>KPI</t>
  </si>
  <si>
    <t>Your Company</t>
  </si>
  <si>
    <t>Competitor</t>
  </si>
  <si>
    <t>% Outsourced Delivery</t>
  </si>
  <si>
    <t>Owned Vehicle Cost</t>
  </si>
  <si>
    <t>% Trained Staff</t>
  </si>
  <si>
    <t>% Roles Filled</t>
  </si>
  <si>
    <t>Pallet Cost</t>
  </si>
  <si>
    <t>Storage Cost</t>
  </si>
  <si>
    <t>% Union Drivers</t>
  </si>
  <si>
    <t>% Sourced From Sustainable</t>
  </si>
  <si>
    <t>% Processes
Automated with AI</t>
  </si>
  <si>
    <t>% Inventory Stored
 On Cloud</t>
  </si>
  <si>
    <t>Order Fill Rate</t>
  </si>
  <si>
    <t>Return Rate</t>
  </si>
  <si>
    <t>Order Accuracy Rate</t>
  </si>
  <si>
    <t>Upsell Rate</t>
  </si>
  <si>
    <t>Conversion Rate</t>
  </si>
  <si>
    <t>Customer Retention Rate</t>
  </si>
  <si>
    <t>% Digital Marketing</t>
  </si>
  <si>
    <t>Escalation Rate</t>
  </si>
  <si>
    <t>Return Repair Rate</t>
  </si>
  <si>
    <t>% Services Online</t>
  </si>
  <si>
    <t>Activity</t>
  </si>
  <si>
    <t>1. Make Sure Macros are enabled</t>
  </si>
  <si>
    <t>2. Input Desired KPIs (Tool will copy names also, so KPIs can be changed if desired)</t>
  </si>
  <si>
    <t>3. Press ctrl+g to copy data to corresponding sheets</t>
  </si>
  <si>
    <r>
      <t xml:space="preserve">% </t>
    </r>
    <r>
      <rPr>
        <b/>
        <sz val="11"/>
        <color theme="1"/>
        <rFont val="Calibri"/>
        <family val="2"/>
        <scheme val="minor"/>
      </rPr>
      <t>Shared Truckload</t>
    </r>
  </si>
  <si>
    <t>Digitisation Cost</t>
  </si>
  <si>
    <t>Average Delivery Time (h)</t>
  </si>
  <si>
    <r>
      <t>Transport Cost (</t>
    </r>
    <r>
      <rPr>
        <b/>
        <sz val="11"/>
        <color theme="1"/>
        <rFont val="Calibri"/>
        <family val="2"/>
      </rPr>
      <t>€</t>
    </r>
    <r>
      <rPr>
        <b/>
        <sz val="11"/>
        <color theme="1"/>
        <rFont val="Calibri"/>
        <family val="2"/>
        <scheme val="minor"/>
      </rPr>
      <t>)</t>
    </r>
  </si>
  <si>
    <t>% On-time in full</t>
  </si>
  <si>
    <t>Monthly Throughput</t>
  </si>
  <si>
    <t>Cycle Time (h)</t>
  </si>
  <si>
    <t>Monthly Demand Forecast</t>
  </si>
  <si>
    <t>Average Resolution Time (h)</t>
  </si>
  <si>
    <t>Transport Cost (€)</t>
  </si>
  <si>
    <t>KPI Score</t>
  </si>
  <si>
    <t>% Inventory Recorded
 On Cloud</t>
  </si>
  <si>
    <t>Machinery Cost</t>
  </si>
  <si>
    <t>Workshop Cost</t>
  </si>
  <si>
    <r>
      <t xml:space="preserve">% </t>
    </r>
    <r>
      <rPr>
        <b/>
        <sz val="11"/>
        <color theme="1"/>
        <rFont val="Calibri"/>
        <family val="2"/>
        <scheme val="minor"/>
      </rPr>
      <t>Outsourced</t>
    </r>
  </si>
  <si>
    <t>Raw Material Cost</t>
  </si>
  <si>
    <t>% Work Force Diversity</t>
  </si>
  <si>
    <t>% Outsourced</t>
  </si>
  <si>
    <t>% Staff Offshore</t>
  </si>
  <si>
    <t>Licensing Cost</t>
  </si>
  <si>
    <r>
      <t>%</t>
    </r>
    <r>
      <rPr>
        <b/>
        <sz val="11"/>
        <color theme="1"/>
        <rFont val="Calibri"/>
        <family val="2"/>
        <scheme val="minor"/>
      </rPr>
      <t xml:space="preserve"> Energy From Renewable</t>
    </r>
  </si>
  <si>
    <t>% Machines With
 Digital Interface</t>
  </si>
  <si>
    <t>Company Fleet Cost</t>
  </si>
  <si>
    <t>Fleet Fuel Cost</t>
  </si>
  <si>
    <t>Shipping Lane Cost</t>
  </si>
  <si>
    <t>Premise Rent</t>
  </si>
  <si>
    <t>Overheads</t>
  </si>
  <si>
    <t>Billboard Costs</t>
  </si>
  <si>
    <t>Digital Agency Cost</t>
  </si>
  <si>
    <t>% Sustainability Focused Ads</t>
  </si>
  <si>
    <r>
      <t xml:space="preserve">% </t>
    </r>
    <r>
      <rPr>
        <b/>
        <sz val="11"/>
        <color theme="1"/>
        <rFont val="Calibri"/>
        <family val="2"/>
        <scheme val="minor"/>
      </rPr>
      <t>Sustainable Partners</t>
    </r>
  </si>
  <si>
    <t>Call Centre Cost</t>
  </si>
  <si>
    <t>Offshore Staff Cost</t>
  </si>
  <si>
    <t>Average Outsourcing
Cost Reduction</t>
  </si>
  <si>
    <t>% Repairs using
Recycled Material</t>
  </si>
  <si>
    <t>1 - Return Rate</t>
  </si>
  <si>
    <t>1 - Error Rate</t>
  </si>
  <si>
    <t>1 - Escalation Rate</t>
  </si>
  <si>
    <r>
      <t xml:space="preserve">1 - % </t>
    </r>
    <r>
      <rPr>
        <b/>
        <sz val="11"/>
        <color theme="1"/>
        <rFont val="Calibri"/>
        <family val="2"/>
        <scheme val="minor"/>
      </rPr>
      <t>Sales Incorrectly
Recorded</t>
    </r>
  </si>
  <si>
    <t>1 - % Tickets Logged Incorrectly</t>
  </si>
  <si>
    <t>Overall
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</si>
</sst>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/>
        </stop>
        <stop position="1">
          <color theme="9" tint="0.80001220740379042"/>
        </stop>
      </gradientFill>
    </fill>
    <fill>
      <patternFill patternType="solid">
        <fgColor theme="9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7" borderId="0" xfId="0" applyFill="1"/>
    <xf numFmtId="0" fontId="0" fillId="8" borderId="0" xfId="0" applyFill="1"/>
    <xf numFmtId="0" fontId="0" fillId="2" borderId="0" xfId="0" applyFill="1"/>
    <xf numFmtId="0" fontId="1" fillId="6" borderId="2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2" xfId="0" applyFont="1" applyFill="1" applyBorder="1" applyAlignment="1">
      <alignment vertical="center"/>
    </xf>
    <xf numFmtId="0" fontId="0" fillId="7" borderId="0" xfId="0" applyFill="1" applyAlignment="1">
      <alignment wrapText="1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7" borderId="0" xfId="0" applyFont="1" applyFill="1"/>
    <xf numFmtId="0" fontId="1" fillId="7" borderId="0" xfId="0" applyFont="1" applyFill="1" applyAlignment="1">
      <alignment wrapText="1"/>
    </xf>
    <xf numFmtId="0" fontId="1" fillId="3" borderId="2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164" fontId="0" fillId="2" borderId="0" xfId="0" applyNumberFormat="1" applyFill="1"/>
    <xf numFmtId="0" fontId="1" fillId="8" borderId="11" xfId="0" applyFont="1" applyFill="1" applyBorder="1" applyAlignment="1">
      <alignment horizontal="center" wrapText="1"/>
    </xf>
    <xf numFmtId="0" fontId="1" fillId="8" borderId="8" xfId="0" applyFont="1" applyFill="1" applyBorder="1" applyAlignment="1">
      <alignment horizontal="center"/>
    </xf>
    <xf numFmtId="164" fontId="1" fillId="2" borderId="11" xfId="0" applyNumberFormat="1" applyFont="1" applyFill="1" applyBorder="1" applyAlignment="1">
      <alignment horizontal="center" vertical="center"/>
    </xf>
    <xf numFmtId="164" fontId="1" fillId="2" borderId="8" xfId="0" applyNumberFormat="1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top"/>
    </xf>
    <xf numFmtId="0" fontId="1" fillId="5" borderId="13" xfId="0" applyFont="1" applyFill="1" applyBorder="1" applyAlignment="1">
      <alignment horizontal="center" vertical="top"/>
    </xf>
    <xf numFmtId="0" fontId="1" fillId="5" borderId="14" xfId="0" applyFont="1" applyFill="1" applyBorder="1" applyAlignment="1">
      <alignment horizontal="center" vertical="top"/>
    </xf>
    <xf numFmtId="0" fontId="1" fillId="8" borderId="11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wrapText="1"/>
    </xf>
    <xf numFmtId="0" fontId="1" fillId="6" borderId="8" xfId="0" applyFont="1" applyFill="1" applyBorder="1" applyAlignment="1">
      <alignment horizontal="center" wrapText="1"/>
    </xf>
    <xf numFmtId="0" fontId="1" fillId="6" borderId="11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top" wrapText="1"/>
    </xf>
    <xf numFmtId="0" fontId="1" fillId="5" borderId="8" xfId="0" applyFont="1" applyFill="1" applyBorder="1" applyAlignment="1">
      <alignment horizontal="center" vertical="top" wrapText="1"/>
    </xf>
    <xf numFmtId="0" fontId="1" fillId="5" borderId="2" xfId="0" applyFont="1" applyFill="1" applyBorder="1" applyAlignment="1">
      <alignment horizontal="center" vertical="top" wrapText="1"/>
    </xf>
    <xf numFmtId="0" fontId="1" fillId="5" borderId="2" xfId="0" applyFont="1" applyFill="1" applyBorder="1" applyAlignment="1">
      <alignment horizontal="center" vertical="top"/>
    </xf>
    <xf numFmtId="0" fontId="0" fillId="2" borderId="10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3" borderId="7" xfId="0" applyFont="1" applyFill="1" applyBorder="1" applyAlignment="1">
      <alignment horizontal="left" vertical="center"/>
    </xf>
    <xf numFmtId="0" fontId="1" fillId="3" borderId="13" xfId="0" applyFont="1" applyFill="1" applyBorder="1" applyAlignment="1">
      <alignment horizontal="left" vertical="center"/>
    </xf>
    <xf numFmtId="0" fontId="1" fillId="3" borderId="14" xfId="0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0" fillId="3" borderId="14" xfId="0" applyFill="1" applyBorder="1" applyAlignment="1">
      <alignment horizontal="left"/>
    </xf>
    <xf numFmtId="0" fontId="0" fillId="7" borderId="0" xfId="0" applyFill="1" applyAlignment="1">
      <alignment horizontal="center"/>
    </xf>
    <xf numFmtId="0" fontId="0" fillId="10" borderId="7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adme!A1"/><Relationship Id="rId2" Type="http://schemas.openxmlformats.org/officeDocument/2006/relationships/hyperlink" Target="#'KPI''s'!A1"/><Relationship Id="rId1" Type="http://schemas.openxmlformats.org/officeDocument/2006/relationships/hyperlink" Target="#Servic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ub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ub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ub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ub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ub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ub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hyperlink" Target="#Hub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446942</xdr:colOff>
      <xdr:row>14</xdr:row>
      <xdr:rowOff>187753</xdr:rowOff>
    </xdr:from>
    <xdr:to>
      <xdr:col>12</xdr:col>
      <xdr:colOff>345282</xdr:colOff>
      <xdr:row>17</xdr:row>
      <xdr:rowOff>175847</xdr:rowOff>
    </xdr:to>
    <xdr:sp macro="" textlink="">
      <xdr:nvSpPr>
        <xdr:cNvPr id="3" name="Isosceles Tri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36423" y="2854753"/>
          <a:ext cx="506474" cy="559594"/>
        </a:xfrm>
        <a:prstGeom prst="triangle">
          <a:avLst>
            <a:gd name="adj" fmla="val 82246"/>
          </a:avLst>
        </a:prstGeom>
        <a:gradFill flip="none" rotWithShape="1">
          <a:gsLst>
            <a:gs pos="87000">
              <a:schemeClr val="accent6">
                <a:lumMod val="20000"/>
                <a:lumOff val="80000"/>
              </a:schemeClr>
            </a:gs>
            <a:gs pos="40000">
              <a:schemeClr val="accent6">
                <a:lumMod val="5000"/>
                <a:lumOff val="95000"/>
              </a:schemeClr>
            </a:gs>
            <a:gs pos="0">
              <a:schemeClr val="bg1"/>
            </a:gs>
            <a:gs pos="58000">
              <a:schemeClr val="accent6">
                <a:lumMod val="0"/>
                <a:lumOff val="100000"/>
              </a:schemeClr>
            </a:gs>
            <a:gs pos="72000">
              <a:schemeClr val="accent6">
                <a:lumMod val="30000"/>
                <a:lumOff val="70000"/>
                <a:alpha val="26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twoCellAnchor>
    <xdr:from>
      <xdr:col>3</xdr:col>
      <xdr:colOff>590550</xdr:colOff>
      <xdr:row>2</xdr:row>
      <xdr:rowOff>171450</xdr:rowOff>
    </xdr:from>
    <xdr:to>
      <xdr:col>10</xdr:col>
      <xdr:colOff>9525</xdr:colOff>
      <xdr:row>5</xdr:row>
      <xdr:rowOff>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2419350" y="552450"/>
          <a:ext cx="3686175" cy="400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Redsigned</a:t>
          </a:r>
          <a:r>
            <a:rPr lang="en-IE" sz="1100" b="1" baseline="0">
              <a:solidFill>
                <a:schemeClr val="tx1"/>
              </a:solidFill>
            </a:rPr>
            <a:t> Porter's Value Chain</a:t>
          </a:r>
          <a:endParaRPr lang="en-IE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455840</xdr:colOff>
      <xdr:row>13</xdr:row>
      <xdr:rowOff>49059</xdr:rowOff>
    </xdr:from>
    <xdr:to>
      <xdr:col>12</xdr:col>
      <xdr:colOff>217714</xdr:colOff>
      <xdr:row>15</xdr:row>
      <xdr:rowOff>180296</xdr:rowOff>
    </xdr:to>
    <xdr:sp macro="" textlink="">
      <xdr:nvSpPr>
        <xdr:cNvPr id="43" name="Isosceles Tri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7153956" y="2525559"/>
          <a:ext cx="370794" cy="512237"/>
        </a:xfrm>
        <a:prstGeom prst="triangle">
          <a:avLst>
            <a:gd name="adj" fmla="val 58162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IE"/>
        </a:p>
      </xdr:txBody>
    </xdr:sp>
    <xdr:clientData/>
  </xdr:twoCellAnchor>
  <xdr:twoCellAnchor>
    <xdr:from>
      <xdr:col>4</xdr:col>
      <xdr:colOff>0</xdr:colOff>
      <xdr:row>6</xdr:row>
      <xdr:rowOff>28575</xdr:rowOff>
    </xdr:from>
    <xdr:to>
      <xdr:col>4</xdr:col>
      <xdr:colOff>19050</xdr:colOff>
      <xdr:row>18</xdr:row>
      <xdr:rowOff>9525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V="1">
          <a:off x="2438400" y="1171575"/>
          <a:ext cx="19050" cy="2266950"/>
        </a:xfrm>
        <a:prstGeom prst="line">
          <a:avLst/>
        </a:prstGeom>
        <a:ln w="9525" cap="flat" cmpd="sng" algn="ctr">
          <a:solidFill>
            <a:schemeClr val="dk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38100</xdr:rowOff>
    </xdr:from>
    <xdr:to>
      <xdr:col>6</xdr:col>
      <xdr:colOff>19050</xdr:colOff>
      <xdr:row>18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V="1">
          <a:off x="3657600" y="1181100"/>
          <a:ext cx="19050" cy="2266950"/>
        </a:xfrm>
        <a:prstGeom prst="line">
          <a:avLst/>
        </a:prstGeom>
        <a:ln w="9525" cap="flat" cmpd="sng" algn="ctr">
          <a:solidFill>
            <a:schemeClr val="dk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</xdr:row>
      <xdr:rowOff>9525</xdr:rowOff>
    </xdr:from>
    <xdr:to>
      <xdr:col>8</xdr:col>
      <xdr:colOff>19050</xdr:colOff>
      <xdr:row>17</xdr:row>
      <xdr:rowOff>180975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V="1">
          <a:off x="4876800" y="1152525"/>
          <a:ext cx="19050" cy="2266950"/>
        </a:xfrm>
        <a:prstGeom prst="line">
          <a:avLst/>
        </a:prstGeom>
        <a:ln w="9525" cap="flat" cmpd="sng" algn="ctr">
          <a:solidFill>
            <a:schemeClr val="dk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5</xdr:row>
      <xdr:rowOff>180975</xdr:rowOff>
    </xdr:from>
    <xdr:to>
      <xdr:col>10</xdr:col>
      <xdr:colOff>19050</xdr:colOff>
      <xdr:row>17</xdr:row>
      <xdr:rowOff>161925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V="1">
          <a:off x="6096000" y="1133475"/>
          <a:ext cx="19050" cy="2266950"/>
        </a:xfrm>
        <a:prstGeom prst="line">
          <a:avLst/>
        </a:prstGeom>
        <a:ln w="9525" cap="flat" cmpd="sng" algn="ctr">
          <a:solidFill>
            <a:schemeClr val="dk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285750</xdr:colOff>
      <xdr:row>18</xdr:row>
      <xdr:rowOff>9525</xdr:rowOff>
    </xdr:from>
    <xdr:to>
      <xdr:col>12</xdr:col>
      <xdr:colOff>361950</xdr:colOff>
      <xdr:row>30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V="1">
          <a:off x="6991350" y="3438525"/>
          <a:ext cx="685800" cy="227647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289892</xdr:colOff>
      <xdr:row>6</xdr:row>
      <xdr:rowOff>0</xdr:rowOff>
    </xdr:from>
    <xdr:to>
      <xdr:col>12</xdr:col>
      <xdr:colOff>360707</xdr:colOff>
      <xdr:row>18</xdr:row>
      <xdr:rowOff>21535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6995492" y="1143000"/>
          <a:ext cx="680415" cy="230753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459652</xdr:colOff>
      <xdr:row>6</xdr:row>
      <xdr:rowOff>36593</xdr:rowOff>
    </xdr:from>
    <xdr:to>
      <xdr:col>12</xdr:col>
      <xdr:colOff>138252</xdr:colOff>
      <xdr:row>11</xdr:row>
      <xdr:rowOff>12582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20585150">
          <a:off x="7165252" y="1179593"/>
          <a:ext cx="288200" cy="92848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IE"/>
        </a:p>
      </xdr:txBody>
    </xdr:sp>
    <xdr:clientData/>
  </xdr:twoCellAnchor>
  <xdr:twoCellAnchor>
    <xdr:from>
      <xdr:col>11</xdr:col>
      <xdr:colOff>500743</xdr:colOff>
      <xdr:row>14</xdr:row>
      <xdr:rowOff>1</xdr:rowOff>
    </xdr:from>
    <xdr:to>
      <xdr:col>12</xdr:col>
      <xdr:colOff>125185</xdr:colOff>
      <xdr:row>14</xdr:row>
      <xdr:rowOff>5444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rot="120000" flipV="1">
          <a:off x="7206343" y="2667001"/>
          <a:ext cx="234042" cy="544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593248</xdr:colOff>
      <xdr:row>16</xdr:row>
      <xdr:rowOff>1401</xdr:rowOff>
    </xdr:from>
    <xdr:to>
      <xdr:col>12</xdr:col>
      <xdr:colOff>248478</xdr:colOff>
      <xdr:row>16</xdr:row>
      <xdr:rowOff>8283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7298848" y="3049401"/>
          <a:ext cx="264830" cy="68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5420</xdr:colOff>
      <xdr:row>18</xdr:row>
      <xdr:rowOff>1356</xdr:rowOff>
    </xdr:from>
    <xdr:to>
      <xdr:col>12</xdr:col>
      <xdr:colOff>342900</xdr:colOff>
      <xdr:row>18</xdr:row>
      <xdr:rowOff>5443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7320620" y="3430356"/>
          <a:ext cx="337480" cy="40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100278</xdr:colOff>
      <xdr:row>18</xdr:row>
      <xdr:rowOff>72342</xdr:rowOff>
    </xdr:from>
    <xdr:to>
      <xdr:col>12</xdr:col>
      <xdr:colOff>347928</xdr:colOff>
      <xdr:row>29</xdr:row>
      <xdr:rowOff>36200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  <a:ext uri="{147F2762-F138-4A5C-976F-8EAC2B608ADB}">
              <a16:predDERef xmlns:a16="http://schemas.microsoft.com/office/drawing/2014/main" pred="{9F92FFB8-6681-43AF-B083-BF29050E57DF}"/>
            </a:ext>
          </a:extLst>
        </xdr:cNvPr>
        <xdr:cNvSpPr txBox="1"/>
      </xdr:nvSpPr>
      <xdr:spPr>
        <a:xfrm rot="6343807">
          <a:off x="6509624" y="4407196"/>
          <a:ext cx="2059358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US" sz="1100" b="1">
              <a:solidFill>
                <a:schemeClr val="dk1"/>
              </a:solidFill>
              <a:latin typeface="+mn-lt"/>
              <a:ea typeface="+mn-lt"/>
              <a:cs typeface="+mn-lt"/>
            </a:rPr>
            <a:t>MARGIN</a:t>
          </a:r>
        </a:p>
      </xdr:txBody>
    </xdr:sp>
    <xdr:clientData/>
  </xdr:twoCellAnchor>
  <xdr:twoCellAnchor>
    <xdr:from>
      <xdr:col>11</xdr:col>
      <xdr:colOff>299639</xdr:colOff>
      <xdr:row>5</xdr:row>
      <xdr:rowOff>171118</xdr:rowOff>
    </xdr:from>
    <xdr:to>
      <xdr:col>12</xdr:col>
      <xdr:colOff>114516</xdr:colOff>
      <xdr:row>7</xdr:row>
      <xdr:rowOff>185917</xdr:rowOff>
    </xdr:to>
    <xdr:sp macro="" textlink="">
      <xdr:nvSpPr>
        <xdr:cNvPr id="32" name="Flowchart: Decision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1784686">
          <a:off x="7005239" y="1123618"/>
          <a:ext cx="424477" cy="395799"/>
        </a:xfrm>
        <a:prstGeom prst="flowChartDecision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IE"/>
        </a:p>
      </xdr:txBody>
    </xdr:sp>
    <xdr:clientData/>
  </xdr:twoCellAnchor>
  <xdr:twoCellAnchor>
    <xdr:from>
      <xdr:col>12</xdr:col>
      <xdr:colOff>13773</xdr:colOff>
      <xdr:row>6</xdr:row>
      <xdr:rowOff>118152</xdr:rowOff>
    </xdr:from>
    <xdr:to>
      <xdr:col>12</xdr:col>
      <xdr:colOff>261423</xdr:colOff>
      <xdr:row>14</xdr:row>
      <xdr:rowOff>174230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 rot="4385468">
          <a:off x="6662759" y="1927366"/>
          <a:ext cx="1580078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E" sz="1100" b="1">
              <a:solidFill>
                <a:schemeClr val="dk1"/>
              </a:solidFill>
            </a:rPr>
            <a:t>MARGIN</a:t>
          </a:r>
        </a:p>
      </xdr:txBody>
    </xdr:sp>
    <xdr:clientData/>
  </xdr:twoCellAnchor>
  <xdr:twoCellAnchor>
    <xdr:from>
      <xdr:col>11</xdr:col>
      <xdr:colOff>310243</xdr:colOff>
      <xdr:row>28</xdr:row>
      <xdr:rowOff>114300</xdr:rowOff>
    </xdr:from>
    <xdr:to>
      <xdr:col>12</xdr:col>
      <xdr:colOff>59871</xdr:colOff>
      <xdr:row>29</xdr:row>
      <xdr:rowOff>185057</xdr:rowOff>
    </xdr:to>
    <xdr:sp macro="" textlink="">
      <xdr:nvSpPr>
        <xdr:cNvPr id="40" name="Flowchart: Dat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7015843" y="5448300"/>
          <a:ext cx="359228" cy="261257"/>
        </a:xfrm>
        <a:prstGeom prst="flowChartInputOutpu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IE"/>
        </a:p>
      </xdr:txBody>
    </xdr:sp>
    <xdr:clientData/>
  </xdr:twoCellAnchor>
  <xdr:twoCellAnchor>
    <xdr:from>
      <xdr:col>11</xdr:col>
      <xdr:colOff>467179</xdr:colOff>
      <xdr:row>24</xdr:row>
      <xdr:rowOff>173596</xdr:rowOff>
    </xdr:from>
    <xdr:to>
      <xdr:col>12</xdr:col>
      <xdr:colOff>120002</xdr:colOff>
      <xdr:row>28</xdr:row>
      <xdr:rowOff>163842</xdr:rowOff>
    </xdr:to>
    <xdr:sp macro="" textlink="">
      <xdr:nvSpPr>
        <xdr:cNvPr id="41" name="Flowchart: Data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725469">
          <a:off x="7172779" y="4745596"/>
          <a:ext cx="262423" cy="752246"/>
        </a:xfrm>
        <a:prstGeom prst="flowChartInputOutpu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IE"/>
        </a:p>
      </xdr:txBody>
    </xdr:sp>
    <xdr:clientData/>
  </xdr:twoCellAnchor>
  <xdr:twoCellAnchor>
    <xdr:from>
      <xdr:col>11</xdr:col>
      <xdr:colOff>476250</xdr:colOff>
      <xdr:row>12</xdr:row>
      <xdr:rowOff>20053</xdr:rowOff>
    </xdr:from>
    <xdr:to>
      <xdr:col>12</xdr:col>
      <xdr:colOff>110289</xdr:colOff>
      <xdr:row>13</xdr:row>
      <xdr:rowOff>180474</xdr:rowOff>
    </xdr:to>
    <xdr:sp macro="" textlink="">
      <xdr:nvSpPr>
        <xdr:cNvPr id="42" name="Isosceles Tri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181850" y="2306053"/>
          <a:ext cx="243639" cy="350921"/>
        </a:xfrm>
        <a:prstGeom prst="triangle">
          <a:avLst>
            <a:gd name="adj" fmla="val 58162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IE"/>
        </a:p>
      </xdr:txBody>
    </xdr:sp>
    <xdr:clientData/>
  </xdr:twoCellAnchor>
  <xdr:twoCellAnchor>
    <xdr:from>
      <xdr:col>11</xdr:col>
      <xdr:colOff>595312</xdr:colOff>
      <xdr:row>18</xdr:row>
      <xdr:rowOff>11906</xdr:rowOff>
    </xdr:from>
    <xdr:to>
      <xdr:col>12</xdr:col>
      <xdr:colOff>357185</xdr:colOff>
      <xdr:row>24</xdr:row>
      <xdr:rowOff>74257</xdr:rowOff>
    </xdr:to>
    <xdr:sp macro="" textlink="">
      <xdr:nvSpPr>
        <xdr:cNvPr id="44" name="Isosceles Triangle 4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10800000">
          <a:off x="7300912" y="3440906"/>
          <a:ext cx="371473" cy="1205351"/>
        </a:xfrm>
        <a:prstGeom prst="triangle">
          <a:avLst>
            <a:gd name="adj" fmla="val 100000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IE"/>
        </a:p>
      </xdr:txBody>
    </xdr:sp>
    <xdr:clientData/>
  </xdr:twoCellAnchor>
  <xdr:twoCellAnchor>
    <xdr:from>
      <xdr:col>11</xdr:col>
      <xdr:colOff>307026</xdr:colOff>
      <xdr:row>6</xdr:row>
      <xdr:rowOff>12608</xdr:rowOff>
    </xdr:from>
    <xdr:to>
      <xdr:col>12</xdr:col>
      <xdr:colOff>15297</xdr:colOff>
      <xdr:row>6</xdr:row>
      <xdr:rowOff>152154</xdr:rowOff>
    </xdr:to>
    <xdr:sp macro="" textlink="">
      <xdr:nvSpPr>
        <xdr:cNvPr id="48" name="Isosceles Triangl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10800000">
          <a:off x="7012626" y="1155608"/>
          <a:ext cx="317871" cy="139546"/>
        </a:xfrm>
        <a:prstGeom prst="triangle">
          <a:avLst>
            <a:gd name="adj" fmla="val 85576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IE"/>
        </a:p>
      </xdr:txBody>
    </xdr:sp>
    <xdr:clientData/>
  </xdr:twoCellAnchor>
  <xdr:twoCellAnchor>
    <xdr:from>
      <xdr:col>0</xdr:col>
      <xdr:colOff>66675</xdr:colOff>
      <xdr:row>8</xdr:row>
      <xdr:rowOff>57150</xdr:rowOff>
    </xdr:from>
    <xdr:to>
      <xdr:col>1</xdr:col>
      <xdr:colOff>542925</xdr:colOff>
      <xdr:row>9</xdr:row>
      <xdr:rowOff>114300</xdr:rowOff>
    </xdr:to>
    <xdr:sp macro="" textlink="">
      <xdr:nvSpPr>
        <xdr:cNvPr id="2" name="Rectangl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75" y="1581150"/>
          <a:ext cx="1085850" cy="2476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ysClr val="windowText" lastClr="000000"/>
              </a:solidFill>
            </a:rPr>
            <a:t>GO TO KPI's</a:t>
          </a:r>
        </a:p>
      </xdr:txBody>
    </xdr:sp>
    <xdr:clientData/>
  </xdr:twoCellAnchor>
  <xdr:twoCellAnchor>
    <xdr:from>
      <xdr:col>1</xdr:col>
      <xdr:colOff>457199</xdr:colOff>
      <xdr:row>29</xdr:row>
      <xdr:rowOff>114303</xdr:rowOff>
    </xdr:from>
    <xdr:to>
      <xdr:col>12</xdr:col>
      <xdr:colOff>85725</xdr:colOff>
      <xdr:row>31</xdr:row>
      <xdr:rowOff>13339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4093844" y="2611758"/>
          <a:ext cx="280036" cy="6334126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twoCellAnchor>
    <xdr:from>
      <xdr:col>1</xdr:col>
      <xdr:colOff>426720</xdr:colOff>
      <xdr:row>5</xdr:row>
      <xdr:rowOff>114297</xdr:rowOff>
    </xdr:from>
    <xdr:to>
      <xdr:col>2</xdr:col>
      <xdr:colOff>97156</xdr:colOff>
      <xdr:row>18</xdr:row>
      <xdr:rowOff>66675</xdr:rowOff>
    </xdr:to>
    <xdr:sp macro="" textlink="">
      <xdr:nvSpPr>
        <xdr:cNvPr id="5" name="Right Brac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0800000">
          <a:off x="1036320" y="1066797"/>
          <a:ext cx="280036" cy="2428878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twoCellAnchor>
    <xdr:from>
      <xdr:col>4</xdr:col>
      <xdr:colOff>447675</xdr:colOff>
      <xdr:row>31</xdr:row>
      <xdr:rowOff>47624</xdr:rowOff>
    </xdr:from>
    <xdr:to>
      <xdr:col>9</xdr:col>
      <xdr:colOff>76200</xdr:colOff>
      <xdr:row>32</xdr:row>
      <xdr:rowOff>95249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886075" y="5953124"/>
          <a:ext cx="2676525" cy="238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PRIMARY ACTIVITIES</a:t>
          </a:r>
        </a:p>
      </xdr:txBody>
    </xdr:sp>
    <xdr:clientData/>
  </xdr:twoCellAnchor>
  <xdr:twoCellAnchor>
    <xdr:from>
      <xdr:col>0</xdr:col>
      <xdr:colOff>433388</xdr:colOff>
      <xdr:row>10</xdr:row>
      <xdr:rowOff>19049</xdr:rowOff>
    </xdr:from>
    <xdr:to>
      <xdr:col>1</xdr:col>
      <xdr:colOff>376238</xdr:colOff>
      <xdr:row>14</xdr:row>
      <xdr:rowOff>109536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6200000">
          <a:off x="283369" y="2074068"/>
          <a:ext cx="852487" cy="5524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SUPPORT</a:t>
          </a:r>
          <a:r>
            <a:rPr lang="en-IE" sz="1100" b="1" baseline="0">
              <a:solidFill>
                <a:schemeClr val="tx1"/>
              </a:solidFill>
            </a:rPr>
            <a:t> ACTIVITIES</a:t>
          </a:r>
        </a:p>
      </xdr:txBody>
    </xdr:sp>
    <xdr:clientData/>
  </xdr:twoCellAnchor>
  <xdr:twoCellAnchor>
    <xdr:from>
      <xdr:col>16</xdr:col>
      <xdr:colOff>219075</xdr:colOff>
      <xdr:row>17</xdr:row>
      <xdr:rowOff>171449</xdr:rowOff>
    </xdr:from>
    <xdr:to>
      <xdr:col>16</xdr:col>
      <xdr:colOff>457200</xdr:colOff>
      <xdr:row>31</xdr:row>
      <xdr:rowOff>180974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16200000">
          <a:off x="8220075" y="4629149"/>
          <a:ext cx="2676525" cy="238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COMPETITOR</a:t>
          </a:r>
        </a:p>
      </xdr:txBody>
    </xdr:sp>
    <xdr:clientData/>
  </xdr:twoCellAnchor>
  <xdr:twoCellAnchor>
    <xdr:from>
      <xdr:col>16</xdr:col>
      <xdr:colOff>190499</xdr:colOff>
      <xdr:row>4</xdr:row>
      <xdr:rowOff>171450</xdr:rowOff>
    </xdr:from>
    <xdr:to>
      <xdr:col>16</xdr:col>
      <xdr:colOff>428624</xdr:colOff>
      <xdr:row>15</xdr:row>
      <xdr:rowOff>9524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rot="16200000">
          <a:off x="8562975" y="1781174"/>
          <a:ext cx="1933574" cy="238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YOUR COMPANY</a:t>
          </a:r>
        </a:p>
      </xdr:txBody>
    </xdr:sp>
    <xdr:clientData/>
  </xdr:twoCellAnchor>
  <xdr:twoCellAnchor>
    <xdr:from>
      <xdr:col>0</xdr:col>
      <xdr:colOff>66675</xdr:colOff>
      <xdr:row>6</xdr:row>
      <xdr:rowOff>76200</xdr:rowOff>
    </xdr:from>
    <xdr:to>
      <xdr:col>1</xdr:col>
      <xdr:colOff>542925</xdr:colOff>
      <xdr:row>7</xdr:row>
      <xdr:rowOff>133350</xdr:rowOff>
    </xdr:to>
    <xdr:sp macro="" textlink="">
      <xdr:nvSpPr>
        <xdr:cNvPr id="16" name="Rectangle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6675" y="1219200"/>
          <a:ext cx="1085850" cy="2476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ysClr val="windowText" lastClr="000000"/>
              </a:solidFill>
            </a:rPr>
            <a:t>READ 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47625</xdr:rowOff>
    </xdr:from>
    <xdr:to>
      <xdr:col>1</xdr:col>
      <xdr:colOff>600075</xdr:colOff>
      <xdr:row>1</xdr:row>
      <xdr:rowOff>104775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3825" y="47625"/>
          <a:ext cx="1085850" cy="2476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ysClr val="windowText" lastClr="000000"/>
              </a:solidFill>
            </a:rPr>
            <a:t>BACK TO HUB</a:t>
          </a:r>
        </a:p>
      </xdr:txBody>
    </xdr:sp>
    <xdr:clientData/>
  </xdr:twoCellAnchor>
  <xdr:twoCellAnchor>
    <xdr:from>
      <xdr:col>8</xdr:col>
      <xdr:colOff>342900</xdr:colOff>
      <xdr:row>0</xdr:row>
      <xdr:rowOff>28575</xdr:rowOff>
    </xdr:from>
    <xdr:to>
      <xdr:col>14</xdr:col>
      <xdr:colOff>371475</xdr:colOff>
      <xdr:row>2</xdr:row>
      <xdr:rowOff>47625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734050" y="28575"/>
          <a:ext cx="3686175" cy="400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Inbound Logistics</a:t>
          </a:r>
        </a:p>
      </xdr:txBody>
    </xdr:sp>
    <xdr:clientData/>
  </xdr:twoCellAnchor>
  <xdr:twoCellAnchor>
    <xdr:from>
      <xdr:col>6</xdr:col>
      <xdr:colOff>495301</xdr:colOff>
      <xdr:row>8</xdr:row>
      <xdr:rowOff>95248</xdr:rowOff>
    </xdr:from>
    <xdr:to>
      <xdr:col>10</xdr:col>
      <xdr:colOff>228601</xdr:colOff>
      <xdr:row>25</xdr:row>
      <xdr:rowOff>190499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467601" y="1847848"/>
          <a:ext cx="2171700" cy="4438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N.B:</a:t>
          </a:r>
        </a:p>
        <a:p>
          <a:endParaRPr lang="en-IE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/>
            <a:t>Values</a:t>
          </a:r>
          <a:r>
            <a:rPr lang="en-IE" sz="1100" i="1" baseline="0"/>
            <a:t> </a:t>
          </a:r>
          <a:r>
            <a:rPr lang="en-IE" sz="1100" i="1"/>
            <a:t>should be normalised</a:t>
          </a:r>
          <a:r>
            <a:rPr lang="en-IE" sz="1100" i="1" baseline="0"/>
            <a:t> using Linear Maximisation/Minimisation or other methods where appropriate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/>
            <a:t>Maximise where larger values indicate good performance/larger values are desireable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/>
            <a:t>Minimise where larger values indicate poor performance/</a:t>
          </a: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Smaller values are desireable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 and Max values must be specified by the user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Some values, like error rate, are specified as 1 - Error Rate, this is to keep values on the same scale 0-1</a:t>
          </a:r>
        </a:p>
        <a:p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E" sz="1100" i="1" baseline="0"/>
        </a:p>
        <a:p>
          <a:endParaRPr lang="en-IE" sz="1100" i="1"/>
        </a:p>
      </xdr:txBody>
    </xdr:sp>
    <xdr:clientData/>
  </xdr:twoCellAnchor>
  <xdr:twoCellAnchor>
    <xdr:from>
      <xdr:col>2</xdr:col>
      <xdr:colOff>1600201</xdr:colOff>
      <xdr:row>2</xdr:row>
      <xdr:rowOff>95249</xdr:rowOff>
    </xdr:from>
    <xdr:to>
      <xdr:col>4</xdr:col>
      <xdr:colOff>104775</xdr:colOff>
      <xdr:row>3</xdr:row>
      <xdr:rowOff>142874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819401" y="476249"/>
          <a:ext cx="1933574" cy="238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Raw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14</xdr:row>
          <xdr:rowOff>152400</xdr:rowOff>
        </xdr:from>
        <xdr:to>
          <xdr:col>13</xdr:col>
          <xdr:colOff>552450</xdr:colOff>
          <xdr:row>16</xdr:row>
          <xdr:rowOff>142875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47625</xdr:rowOff>
    </xdr:from>
    <xdr:to>
      <xdr:col>1</xdr:col>
      <xdr:colOff>600075</xdr:colOff>
      <xdr:row>1</xdr:row>
      <xdr:rowOff>104775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3825" y="47625"/>
          <a:ext cx="1085850" cy="2476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ysClr val="windowText" lastClr="000000"/>
              </a:solidFill>
            </a:rPr>
            <a:t>BACK TO HUB</a:t>
          </a:r>
        </a:p>
      </xdr:txBody>
    </xdr:sp>
    <xdr:clientData/>
  </xdr:twoCellAnchor>
  <xdr:twoCellAnchor>
    <xdr:from>
      <xdr:col>9</xdr:col>
      <xdr:colOff>552450</xdr:colOff>
      <xdr:row>0</xdr:row>
      <xdr:rowOff>57150</xdr:rowOff>
    </xdr:from>
    <xdr:to>
      <xdr:col>15</xdr:col>
      <xdr:colOff>581025</xdr:colOff>
      <xdr:row>2</xdr:row>
      <xdr:rowOff>76200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038850" y="57150"/>
          <a:ext cx="3686175" cy="400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Operations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14</xdr:row>
          <xdr:rowOff>114300</xdr:rowOff>
        </xdr:from>
        <xdr:to>
          <xdr:col>15</xdr:col>
          <xdr:colOff>123825</xdr:colOff>
          <xdr:row>16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47625</xdr:colOff>
      <xdr:row>7</xdr:row>
      <xdr:rowOff>190500</xdr:rowOff>
    </xdr:from>
    <xdr:to>
      <xdr:col>10</xdr:col>
      <xdr:colOff>390525</xdr:colOff>
      <xdr:row>25</xdr:row>
      <xdr:rowOff>38101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629525" y="1695450"/>
          <a:ext cx="2171700" cy="4438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N.B:</a:t>
          </a:r>
        </a:p>
        <a:p>
          <a:endParaRPr lang="en-IE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/>
            <a:t>Values</a:t>
          </a:r>
          <a:r>
            <a:rPr lang="en-IE" sz="1100" i="1" baseline="0"/>
            <a:t> </a:t>
          </a:r>
          <a:r>
            <a:rPr lang="en-IE" sz="1100" i="1"/>
            <a:t>should be normalised</a:t>
          </a:r>
          <a:r>
            <a:rPr lang="en-IE" sz="1100" i="1" baseline="0"/>
            <a:t> using Linear Maximisation/Minimisation or other methods where appropriate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/>
            <a:t>Maximise where larger values indicate good performance/larger values are desireable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/>
            <a:t>Minimise where larger values indicate poor performance/</a:t>
          </a: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Smaller values are desireable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 and Max values must be specified by the user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Some values, like error rate, are specified as 1 - Error Rate, this is to keep values on the same scale 0-1</a:t>
          </a:r>
        </a:p>
        <a:p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E" sz="1100" i="1" baseline="0"/>
        </a:p>
        <a:p>
          <a:endParaRPr lang="en-IE" sz="1100" i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47625</xdr:rowOff>
    </xdr:from>
    <xdr:to>
      <xdr:col>1</xdr:col>
      <xdr:colOff>600075</xdr:colOff>
      <xdr:row>1</xdr:row>
      <xdr:rowOff>104775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3825" y="47625"/>
          <a:ext cx="1085850" cy="2476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ysClr val="windowText" lastClr="000000"/>
              </a:solidFill>
            </a:rPr>
            <a:t>BACK TO HUB</a:t>
          </a:r>
        </a:p>
      </xdr:txBody>
    </xdr:sp>
    <xdr:clientData/>
  </xdr:twoCellAnchor>
  <xdr:twoCellAnchor>
    <xdr:from>
      <xdr:col>9</xdr:col>
      <xdr:colOff>495300</xdr:colOff>
      <xdr:row>0</xdr:row>
      <xdr:rowOff>28575</xdr:rowOff>
    </xdr:from>
    <xdr:to>
      <xdr:col>15</xdr:col>
      <xdr:colOff>523875</xdr:colOff>
      <xdr:row>2</xdr:row>
      <xdr:rowOff>47625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981700" y="28575"/>
          <a:ext cx="3686175" cy="400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Outbound</a:t>
          </a:r>
          <a:r>
            <a:rPr lang="en-IE" sz="1100" b="1" baseline="0">
              <a:solidFill>
                <a:schemeClr val="tx1"/>
              </a:solidFill>
            </a:rPr>
            <a:t> Logistics</a:t>
          </a:r>
          <a:endParaRPr lang="en-IE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14</xdr:row>
          <xdr:rowOff>133350</xdr:rowOff>
        </xdr:from>
        <xdr:to>
          <xdr:col>15</xdr:col>
          <xdr:colOff>200025</xdr:colOff>
          <xdr:row>16</xdr:row>
          <xdr:rowOff>123825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400050</xdr:colOff>
      <xdr:row>7</xdr:row>
      <xdr:rowOff>152400</xdr:rowOff>
    </xdr:from>
    <xdr:to>
      <xdr:col>11</xdr:col>
      <xdr:colOff>133350</xdr:colOff>
      <xdr:row>25</xdr:row>
      <xdr:rowOff>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81950" y="1657350"/>
          <a:ext cx="2171700" cy="4438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N.B:</a:t>
          </a:r>
        </a:p>
        <a:p>
          <a:endParaRPr lang="en-IE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/>
            <a:t>Values</a:t>
          </a:r>
          <a:r>
            <a:rPr lang="en-IE" sz="1100" i="1" baseline="0"/>
            <a:t> </a:t>
          </a:r>
          <a:r>
            <a:rPr lang="en-IE" sz="1100" i="1"/>
            <a:t>should be normalised</a:t>
          </a:r>
          <a:r>
            <a:rPr lang="en-IE" sz="1100" i="1" baseline="0"/>
            <a:t> using Linear Maximisation/Minimisation or other methods where appropriate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/>
            <a:t>Maximise where larger values indicate good performance/larger values are desireable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/>
            <a:t>Minimise where larger values indicate poor performance/</a:t>
          </a: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Smaller values are desireable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 and Max values must be specified by the user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Some values, like error rate, are specified as 1 - Error Rate, this is to keep values on the same scale 0-1</a:t>
          </a:r>
        </a:p>
        <a:p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E" sz="1100" i="1" baseline="0"/>
        </a:p>
        <a:p>
          <a:endParaRPr lang="en-IE" sz="1100" i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47625</xdr:rowOff>
    </xdr:from>
    <xdr:to>
      <xdr:col>1</xdr:col>
      <xdr:colOff>600075</xdr:colOff>
      <xdr:row>1</xdr:row>
      <xdr:rowOff>104775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3825" y="47625"/>
          <a:ext cx="1085850" cy="2476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ysClr val="windowText" lastClr="000000"/>
              </a:solidFill>
            </a:rPr>
            <a:t>BACK TO HUB</a:t>
          </a:r>
        </a:p>
      </xdr:txBody>
    </xdr:sp>
    <xdr:clientData/>
  </xdr:twoCellAnchor>
  <xdr:twoCellAnchor>
    <xdr:from>
      <xdr:col>9</xdr:col>
      <xdr:colOff>352425</xdr:colOff>
      <xdr:row>0</xdr:row>
      <xdr:rowOff>57150</xdr:rowOff>
    </xdr:from>
    <xdr:to>
      <xdr:col>15</xdr:col>
      <xdr:colOff>381000</xdr:colOff>
      <xdr:row>2</xdr:row>
      <xdr:rowOff>76200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838825" y="57150"/>
          <a:ext cx="3686175" cy="400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Marketing &amp; Sales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14</xdr:row>
          <xdr:rowOff>209550</xdr:rowOff>
        </xdr:from>
        <xdr:to>
          <xdr:col>14</xdr:col>
          <xdr:colOff>209550</xdr:colOff>
          <xdr:row>16</xdr:row>
          <xdr:rowOff>200025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</xdr:colOff>
      <xdr:row>7</xdr:row>
      <xdr:rowOff>171450</xdr:rowOff>
    </xdr:from>
    <xdr:to>
      <xdr:col>10</xdr:col>
      <xdr:colOff>352425</xdr:colOff>
      <xdr:row>24</xdr:row>
      <xdr:rowOff>266701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696200" y="1676400"/>
          <a:ext cx="2171700" cy="4438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N.B:</a:t>
          </a:r>
        </a:p>
        <a:p>
          <a:endParaRPr lang="en-IE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/>
            <a:t>Values</a:t>
          </a:r>
          <a:r>
            <a:rPr lang="en-IE" sz="1100" i="1" baseline="0"/>
            <a:t> </a:t>
          </a:r>
          <a:r>
            <a:rPr lang="en-IE" sz="1100" i="1"/>
            <a:t>should be normalised</a:t>
          </a:r>
          <a:r>
            <a:rPr lang="en-IE" sz="1100" i="1" baseline="0"/>
            <a:t> using Linear Maximisation/Minimisation or other methods where appropriate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/>
            <a:t>Maximise where larger values indicate good performance/larger values are desireable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/>
            <a:t>Minimise where larger values indicate poor performance/</a:t>
          </a: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Smaller values are desireable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 and Max values must be specified by the user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Some values, like error rate, are specified as 1 - Error Rate, this is to keep values on the same scale 0-1</a:t>
          </a:r>
        </a:p>
        <a:p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E" sz="1100" i="1" baseline="0"/>
        </a:p>
        <a:p>
          <a:endParaRPr lang="en-IE" sz="1100" i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47625</xdr:rowOff>
    </xdr:from>
    <xdr:to>
      <xdr:col>1</xdr:col>
      <xdr:colOff>600075</xdr:colOff>
      <xdr:row>1</xdr:row>
      <xdr:rowOff>104775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3825" y="47625"/>
          <a:ext cx="1085850" cy="2476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ysClr val="windowText" lastClr="000000"/>
              </a:solidFill>
            </a:rPr>
            <a:t>BACK TO HUB</a:t>
          </a:r>
        </a:p>
      </xdr:txBody>
    </xdr:sp>
    <xdr:clientData/>
  </xdr:twoCellAnchor>
  <xdr:twoCellAnchor>
    <xdr:from>
      <xdr:col>9</xdr:col>
      <xdr:colOff>171450</xdr:colOff>
      <xdr:row>0</xdr:row>
      <xdr:rowOff>38100</xdr:rowOff>
    </xdr:from>
    <xdr:to>
      <xdr:col>15</xdr:col>
      <xdr:colOff>200025</xdr:colOff>
      <xdr:row>2</xdr:row>
      <xdr:rowOff>57150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895975" y="38100"/>
          <a:ext cx="3686175" cy="400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Service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14</xdr:row>
          <xdr:rowOff>9525</xdr:rowOff>
        </xdr:from>
        <xdr:to>
          <xdr:col>13</xdr:col>
          <xdr:colOff>361950</xdr:colOff>
          <xdr:row>16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238125</xdr:colOff>
      <xdr:row>6</xdr:row>
      <xdr:rowOff>200025</xdr:rowOff>
    </xdr:from>
    <xdr:to>
      <xdr:col>9</xdr:col>
      <xdr:colOff>581025</xdr:colOff>
      <xdr:row>23</xdr:row>
      <xdr:rowOff>161926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658100" y="1457325"/>
          <a:ext cx="2171700" cy="4438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E" sz="1100"/>
            <a:t>N.B:</a:t>
          </a:r>
        </a:p>
        <a:p>
          <a:endParaRPr lang="en-IE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/>
            <a:t>Values</a:t>
          </a:r>
          <a:r>
            <a:rPr lang="en-IE" sz="1100" i="1" baseline="0"/>
            <a:t> </a:t>
          </a:r>
          <a:r>
            <a:rPr lang="en-IE" sz="1100" i="1"/>
            <a:t>should be normalised</a:t>
          </a:r>
          <a:r>
            <a:rPr lang="en-IE" sz="1100" i="1" baseline="0"/>
            <a:t> using Linear Maximisation/Minimisation or other methods where appropriate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/>
            <a:t>Maximise where larger values indicate good performance/larger values are desireable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/>
            <a:t>Minimise where larger values indicate poor performance/</a:t>
          </a: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Smaller values are desireable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 and Max values must be specified by the user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E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Some values, like error rate, are specified as 1 - Error Rate, this is to keep values on the same scale 0-1</a:t>
          </a:r>
        </a:p>
        <a:p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E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E" sz="1100" i="1" baseline="0"/>
        </a:p>
        <a:p>
          <a:endParaRPr lang="en-IE" sz="1100" i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47625</xdr:rowOff>
    </xdr:from>
    <xdr:to>
      <xdr:col>1</xdr:col>
      <xdr:colOff>600075</xdr:colOff>
      <xdr:row>1</xdr:row>
      <xdr:rowOff>104775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3825" y="47625"/>
          <a:ext cx="1085850" cy="2476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ysClr val="windowText" lastClr="000000"/>
              </a:solidFill>
            </a:rPr>
            <a:t>BACK TO HUB</a:t>
          </a:r>
        </a:p>
      </xdr:txBody>
    </xdr:sp>
    <xdr:clientData/>
  </xdr:twoCellAnchor>
  <xdr:twoCellAnchor>
    <xdr:from>
      <xdr:col>8</xdr:col>
      <xdr:colOff>152400</xdr:colOff>
      <xdr:row>0</xdr:row>
      <xdr:rowOff>57150</xdr:rowOff>
    </xdr:from>
    <xdr:to>
      <xdr:col>14</xdr:col>
      <xdr:colOff>180975</xdr:colOff>
      <xdr:row>2</xdr:row>
      <xdr:rowOff>76200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7458075" y="57150"/>
          <a:ext cx="3686175" cy="400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chemeClr val="tx1"/>
              </a:solidFill>
            </a:rPr>
            <a:t>KPIs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47625</xdr:rowOff>
    </xdr:from>
    <xdr:to>
      <xdr:col>1</xdr:col>
      <xdr:colOff>600075</xdr:colOff>
      <xdr:row>1</xdr:row>
      <xdr:rowOff>104775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23825" y="47625"/>
          <a:ext cx="1085850" cy="2476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1">
              <a:solidFill>
                <a:sysClr val="windowText" lastClr="000000"/>
              </a:solidFill>
            </a:rPr>
            <a:t>BACK TO HUB</a:t>
          </a:r>
        </a:p>
      </xdr:txBody>
    </xdr:sp>
    <xdr:clientData/>
  </xdr:twoCellAnchor>
  <xdr:twoCellAnchor editAs="oneCell">
    <xdr:from>
      <xdr:col>0</xdr:col>
      <xdr:colOff>0</xdr:colOff>
      <xdr:row>2</xdr:row>
      <xdr:rowOff>28574</xdr:rowOff>
    </xdr:from>
    <xdr:to>
      <xdr:col>10</xdr:col>
      <xdr:colOff>600075</xdr:colOff>
      <xdr:row>32</xdr:row>
      <xdr:rowOff>190499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09574"/>
          <a:ext cx="6696075" cy="5876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28575</xdr:rowOff>
    </xdr:from>
    <xdr:to>
      <xdr:col>10</xdr:col>
      <xdr:colOff>588475</xdr:colOff>
      <xdr:row>32</xdr:row>
      <xdr:rowOff>57151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9575"/>
          <a:ext cx="6684475" cy="57435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oghan O'Leary" id="{48E18F45-9B0A-4B9C-A7B2-EC7E72E4751A}" userId="S::OLEARYE9@tcd.ie::e75b5418-4889-47d6-b560-003074a6b45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Y5" dT="2023-12-18T20:15:59.53" personId="{48E18F45-9B0A-4B9C-A7B2-EC7E72E4751A}" id="{D5226BB2-0ADC-4C79-8EE6-B3D2FA7F1D1D}">
    <text>Average of Support Scores and KPIs</text>
  </threadedComment>
  <threadedComment ref="R17" dT="2023-12-18T20:13:53.61" personId="{48E18F45-9B0A-4B9C-A7B2-EC7E72E4751A}" id="{26FA5F5A-3D91-4FBD-8D50-30BF2ABC4AE5}">
    <text>Average of support scores for each support activity</text>
  </threadedComment>
  <threadedComment ref="Y19" dT="2023-12-18T20:15:59.53" personId="{48E18F45-9B0A-4B9C-A7B2-EC7E72E4751A}" id="{78BDF13A-8D10-4934-B99E-D77583BBAB2E}">
    <text>Average of Support Scores and KPIs</text>
  </threadedComment>
  <threadedComment ref="R31" dT="2023-12-18T20:13:53.61" personId="{48E18F45-9B0A-4B9C-A7B2-EC7E72E4751A}" id="{49964F6A-1A84-48AE-81BF-F0DFE4842429}">
    <text>Average of support scores for each support activity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0F627-FD29-482A-8955-EBFC84313649}">
  <sheetPr codeName="Sheet1"/>
  <dimension ref="A1:AA35"/>
  <sheetViews>
    <sheetView zoomScaleNormal="100" workbookViewId="0">
      <selection activeCell="I19" sqref="I19:J30"/>
    </sheetView>
  </sheetViews>
  <sheetFormatPr defaultRowHeight="15" x14ac:dyDescent="0.25"/>
  <cols>
    <col min="13" max="13" width="10.140625" customWidth="1"/>
    <col min="14" max="14" width="0.140625" customWidth="1"/>
    <col min="18" max="18" width="12.5703125" customWidth="1"/>
    <col min="19" max="19" width="13.28515625" bestFit="1" customWidth="1"/>
    <col min="20" max="20" width="16.85546875" bestFit="1" customWidth="1"/>
    <col min="21" max="21" width="18" bestFit="1" customWidth="1"/>
    <col min="22" max="22" width="12.5703125" bestFit="1" customWidth="1"/>
    <col min="23" max="23" width="20.7109375" bestFit="1" customWidth="1"/>
    <col min="24" max="24" width="15.42578125" bestFit="1" customWidth="1"/>
    <col min="25" max="25" width="10.5703125" bestFit="1" customWidth="1"/>
  </cols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"/>
    </row>
    <row r="4" spans="1:27" x14ac:dyDescent="0.25">
      <c r="A4" s="3"/>
      <c r="B4" s="3"/>
      <c r="C4" s="3"/>
      <c r="D4" s="3"/>
      <c r="E4" s="45" t="s">
        <v>0</v>
      </c>
      <c r="F4" s="45"/>
      <c r="G4" s="45"/>
      <c r="H4" s="45"/>
      <c r="I4" s="45"/>
      <c r="J4" s="45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"/>
    </row>
    <row r="5" spans="1:27" ht="15" customHeight="1" x14ac:dyDescent="0.25">
      <c r="A5" s="3"/>
      <c r="B5" s="3"/>
      <c r="C5" s="3"/>
      <c r="D5" s="3"/>
      <c r="E5" s="45"/>
      <c r="F5" s="45"/>
      <c r="G5" s="45"/>
      <c r="H5" s="45"/>
      <c r="I5" s="45"/>
      <c r="J5" s="45"/>
      <c r="K5" s="3"/>
      <c r="L5" s="3"/>
      <c r="M5" s="3"/>
      <c r="N5" s="3"/>
      <c r="O5" s="3"/>
      <c r="P5" s="3"/>
      <c r="Q5" s="3"/>
      <c r="R5" s="40" t="s">
        <v>1</v>
      </c>
      <c r="S5" s="26" t="s">
        <v>2</v>
      </c>
      <c r="T5" s="27"/>
      <c r="U5" s="27"/>
      <c r="V5" s="27"/>
      <c r="W5" s="27"/>
      <c r="X5" s="28"/>
      <c r="Y5" s="29" t="s">
        <v>60</v>
      </c>
      <c r="Z5" s="3"/>
      <c r="AA5" s="1"/>
    </row>
    <row r="6" spans="1:27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41"/>
      <c r="S6" s="4" t="s">
        <v>3</v>
      </c>
      <c r="T6" s="4" t="s">
        <v>4</v>
      </c>
      <c r="U6" s="6" t="s">
        <v>5</v>
      </c>
      <c r="V6" s="6" t="s">
        <v>6</v>
      </c>
      <c r="W6" s="6" t="s">
        <v>7</v>
      </c>
      <c r="X6" s="6" t="s">
        <v>8</v>
      </c>
      <c r="Y6" s="30"/>
      <c r="Z6" s="3"/>
      <c r="AA6" s="1"/>
    </row>
    <row r="7" spans="1:27" x14ac:dyDescent="0.25">
      <c r="A7" s="3"/>
      <c r="B7" s="3"/>
      <c r="C7" s="63" t="s">
        <v>9</v>
      </c>
      <c r="D7" s="64"/>
      <c r="E7" s="64"/>
      <c r="F7" s="64"/>
      <c r="G7" s="64"/>
      <c r="H7" s="64"/>
      <c r="I7" s="64"/>
      <c r="J7" s="64"/>
      <c r="K7" s="64"/>
      <c r="L7" s="64"/>
      <c r="M7" s="44"/>
      <c r="N7" s="44"/>
      <c r="O7" s="3"/>
      <c r="P7" s="19"/>
      <c r="Q7" s="3"/>
      <c r="R7" s="38" t="s">
        <v>10</v>
      </c>
      <c r="S7" s="24">
        <f>AVERAGE('Inbound Logistics'!D$10:D$11)</f>
        <v>0.375</v>
      </c>
      <c r="T7" s="24">
        <f>AVERAGE('Inbound Logistics'!D$13:D$14)</f>
        <v>0.82499999999999996</v>
      </c>
      <c r="U7" s="24">
        <f>AVERAGE('Inbound Logistics'!D$16:D$17)</f>
        <v>0.625</v>
      </c>
      <c r="V7" s="24">
        <f>AVERAGE('Inbound Logistics'!D$19:D$20)</f>
        <v>0.55000000000000004</v>
      </c>
      <c r="W7" s="24">
        <f>AVERAGE('Inbound Logistics'!D$22:D$23)</f>
        <v>0.64999999999999991</v>
      </c>
      <c r="X7" s="24">
        <f>AVERAGE('Inbound Logistics'!D$25:D$26)</f>
        <v>0.45</v>
      </c>
      <c r="Y7" s="22">
        <f xml:space="preserve"> AVERAGE('Inbound Logistics'!D$6:D$8)</f>
        <v>0.71666666666666667</v>
      </c>
      <c r="Z7" s="3"/>
      <c r="AA7" s="1"/>
    </row>
    <row r="8" spans="1:27" x14ac:dyDescent="0.25">
      <c r="A8" s="3"/>
      <c r="B8" s="3"/>
      <c r="C8" s="65"/>
      <c r="D8" s="66"/>
      <c r="E8" s="66"/>
      <c r="F8" s="66"/>
      <c r="G8" s="66"/>
      <c r="H8" s="66"/>
      <c r="I8" s="66"/>
      <c r="J8" s="66"/>
      <c r="K8" s="66"/>
      <c r="L8" s="66"/>
      <c r="M8" s="44"/>
      <c r="N8" s="44"/>
      <c r="O8" s="3"/>
      <c r="P8" s="19"/>
      <c r="Q8" s="3"/>
      <c r="R8" s="39"/>
      <c r="S8" s="25"/>
      <c r="T8" s="25"/>
      <c r="U8" s="25"/>
      <c r="V8" s="25"/>
      <c r="W8" s="25"/>
      <c r="X8" s="25"/>
      <c r="Y8" s="23"/>
      <c r="Z8" s="3"/>
      <c r="AA8" s="1"/>
    </row>
    <row r="9" spans="1:27" x14ac:dyDescent="0.25">
      <c r="A9" s="3"/>
      <c r="B9" s="3"/>
      <c r="C9" s="67" t="s">
        <v>11</v>
      </c>
      <c r="D9" s="58"/>
      <c r="E9" s="58"/>
      <c r="F9" s="58"/>
      <c r="G9" s="58"/>
      <c r="H9" s="58"/>
      <c r="I9" s="58"/>
      <c r="J9" s="58"/>
      <c r="K9" s="58"/>
      <c r="L9" s="58"/>
      <c r="M9" s="44"/>
      <c r="N9" s="44"/>
      <c r="O9" s="3"/>
      <c r="P9" s="3"/>
      <c r="Q9" s="3"/>
      <c r="R9" s="34" t="s">
        <v>12</v>
      </c>
      <c r="S9" s="24">
        <f>AVERAGE(Operations!D$10:D$11)</f>
        <v>0.625</v>
      </c>
      <c r="T9" s="24">
        <f>AVERAGE(Operations!D$13:D$14)</f>
        <v>0.9</v>
      </c>
      <c r="U9" s="24">
        <f>AVERAGE(Operations!D$16:D$17)</f>
        <v>0.65</v>
      </c>
      <c r="V9" s="24">
        <f>AVERAGE(Operations!D$19:D$20)</f>
        <v>0.60000000000000009</v>
      </c>
      <c r="W9" s="24">
        <f>AVERAGE(Operations!D$22:D$23)</f>
        <v>0.25</v>
      </c>
      <c r="X9" s="24">
        <f>AVERAGE(Operations!D$25:D$26)</f>
        <v>0.35</v>
      </c>
      <c r="Y9" s="22">
        <f xml:space="preserve"> AVERAGE(Operations!D$6:D$8)</f>
        <v>0.78333333333333333</v>
      </c>
      <c r="Z9" s="3"/>
      <c r="AA9" s="1"/>
    </row>
    <row r="10" spans="1:27" x14ac:dyDescent="0.25">
      <c r="A10" s="3"/>
      <c r="B10" s="3"/>
      <c r="C10" s="61"/>
      <c r="D10" s="62"/>
      <c r="E10" s="62"/>
      <c r="F10" s="62"/>
      <c r="G10" s="62"/>
      <c r="H10" s="62"/>
      <c r="I10" s="62"/>
      <c r="J10" s="62"/>
      <c r="K10" s="62"/>
      <c r="L10" s="62"/>
      <c r="M10" s="44"/>
      <c r="N10" s="44"/>
      <c r="O10" s="3"/>
      <c r="P10" s="3"/>
      <c r="Q10" s="3"/>
      <c r="R10" s="35"/>
      <c r="S10" s="25"/>
      <c r="T10" s="25"/>
      <c r="U10" s="25"/>
      <c r="V10" s="25"/>
      <c r="W10" s="25"/>
      <c r="X10" s="25"/>
      <c r="Y10" s="23"/>
      <c r="Z10" s="3"/>
      <c r="AA10" s="1"/>
    </row>
    <row r="11" spans="1:27" ht="15" customHeight="1" x14ac:dyDescent="0.25">
      <c r="A11" s="3"/>
      <c r="B11" s="3"/>
      <c r="C11" s="68" t="s">
        <v>13</v>
      </c>
      <c r="D11" s="69"/>
      <c r="E11" s="69"/>
      <c r="F11" s="69"/>
      <c r="G11" s="69"/>
      <c r="H11" s="69"/>
      <c r="I11" s="69"/>
      <c r="J11" s="69"/>
      <c r="K11" s="69"/>
      <c r="L11" s="69"/>
      <c r="M11" s="44"/>
      <c r="N11" s="44"/>
      <c r="O11" s="3"/>
      <c r="P11" s="3"/>
      <c r="Q11" s="3"/>
      <c r="R11" s="36" t="s">
        <v>14</v>
      </c>
      <c r="S11" s="24">
        <f>AVERAGE('Outbound Logistics'!D$10:D$11)</f>
        <v>0.25</v>
      </c>
      <c r="T11" s="24">
        <f>AVERAGE('Outbound Logistics'!D$13:D$14)</f>
        <v>0.83750000000000002</v>
      </c>
      <c r="U11" s="24">
        <f>AVERAGE('Outbound Logistics'!D$16:D$17)</f>
        <v>0.6</v>
      </c>
      <c r="V11" s="24">
        <f>AVERAGE('Outbound Logistics'!D$19:D$20)</f>
        <v>0.55000000000000004</v>
      </c>
      <c r="W11" s="24">
        <f>AVERAGE('Outbound Logistics'!D$22:D$23)</f>
        <v>0.44999999999999996</v>
      </c>
      <c r="X11" s="24">
        <f>AVERAGE('Outbound Logistics'!D$25:D$26)</f>
        <v>0.35</v>
      </c>
      <c r="Y11" s="22">
        <f xml:space="preserve"> AVERAGE('Outbound Logistics'!D$6:D$8)</f>
        <v>0.875</v>
      </c>
      <c r="Z11" s="3"/>
      <c r="AA11" s="1"/>
    </row>
    <row r="12" spans="1:27" x14ac:dyDescent="0.25">
      <c r="A12" s="3"/>
      <c r="B12" s="3"/>
      <c r="C12" s="55"/>
      <c r="D12" s="70"/>
      <c r="E12" s="70"/>
      <c r="F12" s="70"/>
      <c r="G12" s="70"/>
      <c r="H12" s="70"/>
      <c r="I12" s="70"/>
      <c r="J12" s="70"/>
      <c r="K12" s="70"/>
      <c r="L12" s="70"/>
      <c r="M12" s="44"/>
      <c r="N12" s="44"/>
      <c r="O12" s="3"/>
      <c r="P12" s="3"/>
      <c r="Q12" s="3"/>
      <c r="R12" s="37"/>
      <c r="S12" s="25"/>
      <c r="T12" s="25"/>
      <c r="U12" s="25"/>
      <c r="V12" s="25"/>
      <c r="W12" s="25"/>
      <c r="X12" s="25"/>
      <c r="Y12" s="23"/>
      <c r="Z12" s="3"/>
      <c r="AA12" s="1"/>
    </row>
    <row r="13" spans="1:27" ht="15" customHeight="1" x14ac:dyDescent="0.25">
      <c r="A13" s="3"/>
      <c r="B13" s="3"/>
      <c r="C13" s="68" t="s">
        <v>6</v>
      </c>
      <c r="D13" s="69"/>
      <c r="E13" s="69"/>
      <c r="F13" s="69"/>
      <c r="G13" s="69"/>
      <c r="H13" s="69"/>
      <c r="I13" s="69"/>
      <c r="J13" s="69"/>
      <c r="K13" s="69"/>
      <c r="L13" s="69"/>
      <c r="M13" s="44"/>
      <c r="N13" s="44"/>
      <c r="O13" s="3"/>
      <c r="P13" s="3"/>
      <c r="Q13" s="3"/>
      <c r="R13" s="38" t="s">
        <v>15</v>
      </c>
      <c r="S13" s="24">
        <f>AVERAGE('Marketing &amp; Sales'!D$10:D$11)</f>
        <v>0.3</v>
      </c>
      <c r="T13" s="24">
        <f>AVERAGE('Marketing &amp; Sales'!D$13:D$14)</f>
        <v>0.57499999999999996</v>
      </c>
      <c r="U13" s="24">
        <f>AVERAGE('Marketing &amp; Sales'!D$16:D$17)</f>
        <v>0.55000000000000004</v>
      </c>
      <c r="V13" s="24">
        <f>AVERAGE('Marketing &amp; Sales'!D$19:D$20)</f>
        <v>0.55000000000000004</v>
      </c>
      <c r="W13" s="24">
        <f>AVERAGE('Marketing &amp; Sales'!D$22:D$23)</f>
        <v>0.4</v>
      </c>
      <c r="X13" s="24">
        <f>AVERAGE('Marketing &amp; Sales'!D$25:D$26)</f>
        <v>0.2</v>
      </c>
      <c r="Y13" s="22">
        <f xml:space="preserve"> AVERAGE('Marketing &amp; Sales'!D$6:D$8)</f>
        <v>0.56666666666666665</v>
      </c>
      <c r="Z13" s="3"/>
      <c r="AA13" s="1"/>
    </row>
    <row r="14" spans="1:27" x14ac:dyDescent="0.25">
      <c r="A14" s="3"/>
      <c r="B14" s="3"/>
      <c r="C14" s="55"/>
      <c r="D14" s="70"/>
      <c r="E14" s="70"/>
      <c r="F14" s="70"/>
      <c r="G14" s="70"/>
      <c r="H14" s="70"/>
      <c r="I14" s="70"/>
      <c r="J14" s="70"/>
      <c r="K14" s="70"/>
      <c r="L14" s="70"/>
      <c r="M14" s="44"/>
      <c r="N14" s="44"/>
      <c r="O14" s="3"/>
      <c r="P14" s="3"/>
      <c r="Q14" s="3"/>
      <c r="R14" s="39"/>
      <c r="S14" s="25"/>
      <c r="T14" s="25"/>
      <c r="U14" s="25"/>
      <c r="V14" s="25"/>
      <c r="W14" s="25"/>
      <c r="X14" s="25"/>
      <c r="Y14" s="23"/>
      <c r="Z14" s="3"/>
      <c r="AA14" s="1"/>
    </row>
    <row r="15" spans="1:27" x14ac:dyDescent="0.25">
      <c r="A15" s="3"/>
      <c r="B15" s="3"/>
      <c r="C15" s="71" t="s">
        <v>16</v>
      </c>
      <c r="D15" s="72"/>
      <c r="E15" s="72"/>
      <c r="F15" s="72"/>
      <c r="G15" s="72"/>
      <c r="H15" s="72"/>
      <c r="I15" s="72"/>
      <c r="J15" s="72"/>
      <c r="K15" s="72"/>
      <c r="L15" s="72"/>
      <c r="M15" s="44"/>
      <c r="N15" s="44"/>
      <c r="O15" s="3"/>
      <c r="P15" s="3"/>
      <c r="Q15" s="3"/>
      <c r="R15" s="34" t="s">
        <v>17</v>
      </c>
      <c r="S15" s="24">
        <f>AVERAGE(Service!D$10:D$11)</f>
        <v>0.35</v>
      </c>
      <c r="T15" s="24">
        <f>AVERAGE(Service!D$13:D$14)</f>
        <v>0.47499999999999998</v>
      </c>
      <c r="U15" s="24">
        <f>AVERAGE(Service!D$16:D$17)</f>
        <v>0.52500000000000002</v>
      </c>
      <c r="V15" s="24">
        <f>AVERAGE(Service!D$19:D$20)</f>
        <v>0.25</v>
      </c>
      <c r="W15" s="24">
        <f>AVERAGE(Service!D$22:D$23)</f>
        <v>0.30000000000000004</v>
      </c>
      <c r="X15" s="24">
        <f>AVERAGE(Service!D$25:D$26)</f>
        <v>0.25</v>
      </c>
      <c r="Y15" s="22">
        <f xml:space="preserve"> AVERAGE(Service!D$6:D$8)</f>
        <v>0.28333333333333338</v>
      </c>
      <c r="Z15" s="3"/>
      <c r="AA15" s="1"/>
    </row>
    <row r="16" spans="1:27" x14ac:dyDescent="0.25">
      <c r="A16" s="3"/>
      <c r="B16" s="3"/>
      <c r="C16" s="73"/>
      <c r="D16" s="74"/>
      <c r="E16" s="74"/>
      <c r="F16" s="74"/>
      <c r="G16" s="74"/>
      <c r="H16" s="74"/>
      <c r="I16" s="74"/>
      <c r="J16" s="74"/>
      <c r="K16" s="74"/>
      <c r="L16" s="74"/>
      <c r="M16" s="44"/>
      <c r="N16" s="44"/>
      <c r="O16" s="3"/>
      <c r="P16" s="3"/>
      <c r="Q16" s="3"/>
      <c r="R16" s="35"/>
      <c r="S16" s="25"/>
      <c r="T16" s="25"/>
      <c r="U16" s="25"/>
      <c r="V16" s="25"/>
      <c r="W16" s="25"/>
      <c r="X16" s="25"/>
      <c r="Y16" s="23"/>
      <c r="Z16" s="3"/>
      <c r="AA16" s="1"/>
    </row>
    <row r="17" spans="1:27" x14ac:dyDescent="0.25">
      <c r="A17" s="3"/>
      <c r="B17" s="3"/>
      <c r="C17" s="75" t="s">
        <v>18</v>
      </c>
      <c r="D17" s="76"/>
      <c r="E17" s="76"/>
      <c r="F17" s="76"/>
      <c r="G17" s="76"/>
      <c r="H17" s="76"/>
      <c r="I17" s="76"/>
      <c r="J17" s="76"/>
      <c r="K17" s="76"/>
      <c r="L17" s="76"/>
      <c r="M17" s="44"/>
      <c r="N17" s="44"/>
      <c r="O17" s="3"/>
      <c r="P17" s="3"/>
      <c r="Q17" s="3"/>
      <c r="R17" s="20" t="s">
        <v>90</v>
      </c>
      <c r="S17" s="22">
        <f t="shared" ref="S17:Y17" si="0">AVERAGE(S7:S16)</f>
        <v>0.38</v>
      </c>
      <c r="T17" s="22">
        <f t="shared" si="0"/>
        <v>0.72250000000000003</v>
      </c>
      <c r="U17" s="22">
        <f t="shared" si="0"/>
        <v>0.59</v>
      </c>
      <c r="V17" s="22">
        <f t="shared" si="0"/>
        <v>0.5</v>
      </c>
      <c r="W17" s="22">
        <f t="shared" si="0"/>
        <v>0.41</v>
      </c>
      <c r="X17" s="22">
        <f t="shared" si="0"/>
        <v>0.31999999999999995</v>
      </c>
      <c r="Y17" s="22">
        <f t="shared" si="0"/>
        <v>0.64499999999999991</v>
      </c>
      <c r="Z17" s="3"/>
      <c r="AA17" s="1"/>
    </row>
    <row r="18" spans="1:27" x14ac:dyDescent="0.25">
      <c r="A18" s="3"/>
      <c r="B18" s="3"/>
      <c r="C18" s="77"/>
      <c r="D18" s="78"/>
      <c r="E18" s="78"/>
      <c r="F18" s="78"/>
      <c r="G18" s="78"/>
      <c r="H18" s="78"/>
      <c r="I18" s="78"/>
      <c r="J18" s="78"/>
      <c r="K18" s="78"/>
      <c r="L18" s="78"/>
      <c r="M18" s="44"/>
      <c r="N18" s="44"/>
      <c r="O18" s="3"/>
      <c r="P18" s="3"/>
      <c r="Q18" s="3"/>
      <c r="R18" s="21"/>
      <c r="S18" s="23"/>
      <c r="T18" s="23"/>
      <c r="U18" s="23"/>
      <c r="V18" s="23"/>
      <c r="W18" s="23"/>
      <c r="X18" s="23"/>
      <c r="Y18" s="23"/>
      <c r="Z18" s="3"/>
      <c r="AA18" s="1"/>
    </row>
    <row r="19" spans="1:27" x14ac:dyDescent="0.25">
      <c r="A19" s="3"/>
      <c r="B19" s="3"/>
      <c r="C19" s="46" t="s">
        <v>10</v>
      </c>
      <c r="D19" s="47"/>
      <c r="E19" s="49" t="s">
        <v>19</v>
      </c>
      <c r="F19" s="50"/>
      <c r="G19" s="52" t="s">
        <v>20</v>
      </c>
      <c r="H19" s="53"/>
      <c r="I19" s="49" t="s">
        <v>21</v>
      </c>
      <c r="J19" s="55"/>
      <c r="K19" s="57" t="s">
        <v>22</v>
      </c>
      <c r="L19" s="58"/>
      <c r="M19" s="79"/>
      <c r="N19" s="79"/>
      <c r="O19" s="3"/>
      <c r="P19" s="3"/>
      <c r="Q19" s="3"/>
      <c r="R19" s="42" t="s">
        <v>1</v>
      </c>
      <c r="S19" s="31" t="s">
        <v>2</v>
      </c>
      <c r="T19" s="32"/>
      <c r="U19" s="32"/>
      <c r="V19" s="32"/>
      <c r="W19" s="32"/>
      <c r="X19" s="33"/>
      <c r="Y19" s="29" t="s">
        <v>60</v>
      </c>
      <c r="Z19" s="3"/>
      <c r="AA19" s="1"/>
    </row>
    <row r="20" spans="1:27" x14ac:dyDescent="0.25">
      <c r="A20" s="3"/>
      <c r="B20" s="3"/>
      <c r="C20" s="48"/>
      <c r="D20" s="48"/>
      <c r="E20" s="51"/>
      <c r="F20" s="51"/>
      <c r="G20" s="54"/>
      <c r="H20" s="54"/>
      <c r="I20" s="51"/>
      <c r="J20" s="56"/>
      <c r="K20" s="59"/>
      <c r="L20" s="60"/>
      <c r="M20" s="79"/>
      <c r="N20" s="79"/>
      <c r="O20" s="3"/>
      <c r="P20" s="3"/>
      <c r="Q20" s="3"/>
      <c r="R20" s="43"/>
      <c r="S20" s="4" t="s">
        <v>3</v>
      </c>
      <c r="T20" s="4" t="s">
        <v>4</v>
      </c>
      <c r="U20" s="5" t="s">
        <v>5</v>
      </c>
      <c r="V20" s="5" t="s">
        <v>6</v>
      </c>
      <c r="W20" s="5" t="s">
        <v>7</v>
      </c>
      <c r="X20" s="5" t="s">
        <v>8</v>
      </c>
      <c r="Y20" s="30"/>
      <c r="Z20" s="3"/>
      <c r="AA20" s="1"/>
    </row>
    <row r="21" spans="1:27" ht="15" customHeight="1" x14ac:dyDescent="0.25">
      <c r="A21" s="3"/>
      <c r="B21" s="3"/>
      <c r="C21" s="48"/>
      <c r="D21" s="48"/>
      <c r="E21" s="51"/>
      <c r="F21" s="51"/>
      <c r="G21" s="54"/>
      <c r="H21" s="54"/>
      <c r="I21" s="51"/>
      <c r="J21" s="56"/>
      <c r="K21" s="59"/>
      <c r="L21" s="60"/>
      <c r="M21" s="79"/>
      <c r="N21" s="79"/>
      <c r="O21" s="3"/>
      <c r="P21" s="3"/>
      <c r="Q21" s="3"/>
      <c r="R21" s="38" t="s">
        <v>10</v>
      </c>
      <c r="S21" s="24">
        <f>AVERAGE('Inbound Logistics'!E$10:E$11)</f>
        <v>0.75</v>
      </c>
      <c r="T21" s="24">
        <f>AVERAGE('Inbound Logistics'!E$13:E$14)</f>
        <v>0.97499999999999998</v>
      </c>
      <c r="U21" s="24">
        <f>AVERAGE('Inbound Logistics'!E$16:E$17)</f>
        <v>0.75</v>
      </c>
      <c r="V21" s="24">
        <f>AVERAGE('Inbound Logistics'!E$19:E$20)</f>
        <v>0.85000000000000009</v>
      </c>
      <c r="W21" s="24">
        <f>AVERAGE('Inbound Logistics'!E$22:E$23)</f>
        <v>0.4</v>
      </c>
      <c r="X21" s="24">
        <f>AVERAGE('Inbound Logistics'!E$25:E$26)</f>
        <v>0.82499999999999996</v>
      </c>
      <c r="Y21" s="22">
        <f xml:space="preserve"> AVERAGE('Inbound Logistics'!E$6:E$8)</f>
        <v>0.85166666666666657</v>
      </c>
      <c r="Z21" s="3"/>
      <c r="AA21" s="1"/>
    </row>
    <row r="22" spans="1:27" x14ac:dyDescent="0.25">
      <c r="A22" s="3"/>
      <c r="B22" s="3"/>
      <c r="C22" s="48"/>
      <c r="D22" s="48"/>
      <c r="E22" s="51"/>
      <c r="F22" s="51"/>
      <c r="G22" s="54"/>
      <c r="H22" s="54"/>
      <c r="I22" s="51"/>
      <c r="J22" s="56"/>
      <c r="K22" s="59"/>
      <c r="L22" s="60"/>
      <c r="M22" s="79"/>
      <c r="N22" s="79"/>
      <c r="O22" s="3"/>
      <c r="P22" s="3"/>
      <c r="Q22" s="3"/>
      <c r="R22" s="39"/>
      <c r="S22" s="25"/>
      <c r="T22" s="25"/>
      <c r="U22" s="25"/>
      <c r="V22" s="25"/>
      <c r="W22" s="25"/>
      <c r="X22" s="25"/>
      <c r="Y22" s="23"/>
      <c r="Z22" s="3"/>
      <c r="AA22" s="1"/>
    </row>
    <row r="23" spans="1:27" x14ac:dyDescent="0.25">
      <c r="A23" s="3"/>
      <c r="B23" s="3"/>
      <c r="C23" s="48"/>
      <c r="D23" s="48"/>
      <c r="E23" s="51"/>
      <c r="F23" s="51"/>
      <c r="G23" s="54"/>
      <c r="H23" s="54"/>
      <c r="I23" s="51"/>
      <c r="J23" s="56"/>
      <c r="K23" s="59"/>
      <c r="L23" s="60"/>
      <c r="M23" s="79"/>
      <c r="N23" s="79"/>
      <c r="O23" s="3"/>
      <c r="P23" s="3"/>
      <c r="Q23" s="3"/>
      <c r="R23" s="34" t="s">
        <v>12</v>
      </c>
      <c r="S23" s="24">
        <f>AVERAGE(Operations!E$10:E$11)</f>
        <v>0.85000000000000009</v>
      </c>
      <c r="T23" s="24">
        <f>AVERAGE(Operations!E$13:E$14)</f>
        <v>0.97499999999999998</v>
      </c>
      <c r="U23" s="24">
        <f>AVERAGE(Operations!E$16:E$17)</f>
        <v>0.5</v>
      </c>
      <c r="V23" s="24">
        <f>AVERAGE(Operations!E$19:E$20)</f>
        <v>0.625</v>
      </c>
      <c r="W23" s="24">
        <f>AVERAGE(Operations!E$22:E$23)</f>
        <v>0.45</v>
      </c>
      <c r="X23" s="24">
        <f>AVERAGE(Operations!E$25:E$26)</f>
        <v>0.82499999999999996</v>
      </c>
      <c r="Y23" s="22">
        <f xml:space="preserve"> AVERAGE(Operations!E$6:E$8)</f>
        <v>0.96666666666666667</v>
      </c>
      <c r="Z23" s="3"/>
      <c r="AA23" s="1"/>
    </row>
    <row r="24" spans="1:27" x14ac:dyDescent="0.25">
      <c r="A24" s="3"/>
      <c r="B24" s="3"/>
      <c r="C24" s="48"/>
      <c r="D24" s="48"/>
      <c r="E24" s="51"/>
      <c r="F24" s="51"/>
      <c r="G24" s="54"/>
      <c r="H24" s="54"/>
      <c r="I24" s="51"/>
      <c r="J24" s="56"/>
      <c r="K24" s="59"/>
      <c r="L24" s="60"/>
      <c r="M24" s="79"/>
      <c r="N24" s="79"/>
      <c r="O24" s="3"/>
      <c r="P24" s="3"/>
      <c r="Q24" s="3"/>
      <c r="R24" s="35"/>
      <c r="S24" s="25"/>
      <c r="T24" s="25"/>
      <c r="U24" s="25"/>
      <c r="V24" s="25"/>
      <c r="W24" s="25"/>
      <c r="X24" s="25"/>
      <c r="Y24" s="23"/>
      <c r="Z24" s="3"/>
      <c r="AA24" s="1"/>
    </row>
    <row r="25" spans="1:27" x14ac:dyDescent="0.25">
      <c r="A25" s="3"/>
      <c r="B25" s="3"/>
      <c r="C25" s="48"/>
      <c r="D25" s="48"/>
      <c r="E25" s="51"/>
      <c r="F25" s="51"/>
      <c r="G25" s="54"/>
      <c r="H25" s="54"/>
      <c r="I25" s="51"/>
      <c r="J25" s="56"/>
      <c r="K25" s="59"/>
      <c r="L25" s="60"/>
      <c r="M25" s="79"/>
      <c r="N25" s="79"/>
      <c r="O25" s="3"/>
      <c r="P25" s="3"/>
      <c r="Q25" s="3"/>
      <c r="R25" s="36" t="s">
        <v>14</v>
      </c>
      <c r="S25" s="24">
        <f>AVERAGE('Outbound Logistics'!E$10:E$11)</f>
        <v>0.75</v>
      </c>
      <c r="T25" s="24">
        <f>AVERAGE('Outbound Logistics'!E$13:E$14)</f>
        <v>0.97499999999999998</v>
      </c>
      <c r="U25" s="24">
        <f>AVERAGE('Outbound Logistics'!E$16:E$17)</f>
        <v>0.8</v>
      </c>
      <c r="V25" s="24">
        <f>AVERAGE('Outbound Logistics'!E$19:E$20)</f>
        <v>0.5</v>
      </c>
      <c r="W25" s="24">
        <f>AVERAGE('Outbound Logistics'!E$22:E$23)</f>
        <v>0.65</v>
      </c>
      <c r="X25" s="24">
        <f>AVERAGE('Outbound Logistics'!E$25:E$26)</f>
        <v>0.85</v>
      </c>
      <c r="Y25" s="22">
        <f xml:space="preserve"> AVERAGE('Outbound Logistics'!E$6:E$8)</f>
        <v>0.94</v>
      </c>
      <c r="Z25" s="3"/>
      <c r="AA25" s="1"/>
    </row>
    <row r="26" spans="1:27" x14ac:dyDescent="0.25">
      <c r="A26" s="3"/>
      <c r="B26" s="3"/>
      <c r="C26" s="48"/>
      <c r="D26" s="48"/>
      <c r="E26" s="51"/>
      <c r="F26" s="51"/>
      <c r="G26" s="54"/>
      <c r="H26" s="54"/>
      <c r="I26" s="51"/>
      <c r="J26" s="56"/>
      <c r="K26" s="59"/>
      <c r="L26" s="60"/>
      <c r="M26" s="79"/>
      <c r="N26" s="79"/>
      <c r="O26" s="3"/>
      <c r="P26" s="3"/>
      <c r="Q26" s="3"/>
      <c r="R26" s="37"/>
      <c r="S26" s="25"/>
      <c r="T26" s="25"/>
      <c r="U26" s="25"/>
      <c r="V26" s="25"/>
      <c r="W26" s="25"/>
      <c r="X26" s="25"/>
      <c r="Y26" s="23"/>
      <c r="Z26" s="3"/>
      <c r="AA26" s="1"/>
    </row>
    <row r="27" spans="1:27" ht="15" customHeight="1" x14ac:dyDescent="0.25">
      <c r="A27" s="3"/>
      <c r="B27" s="3"/>
      <c r="C27" s="48"/>
      <c r="D27" s="48"/>
      <c r="E27" s="51"/>
      <c r="F27" s="51"/>
      <c r="G27" s="54"/>
      <c r="H27" s="54"/>
      <c r="I27" s="51"/>
      <c r="J27" s="56"/>
      <c r="K27" s="59"/>
      <c r="L27" s="60"/>
      <c r="M27" s="79"/>
      <c r="N27" s="79"/>
      <c r="O27" s="3"/>
      <c r="P27" s="3"/>
      <c r="Q27" s="3"/>
      <c r="R27" s="38" t="s">
        <v>15</v>
      </c>
      <c r="S27" s="24">
        <f>AVERAGE('Marketing &amp; Sales'!E$10:E$11)</f>
        <v>0.6</v>
      </c>
      <c r="T27" s="24">
        <f>AVERAGE('Marketing &amp; Sales'!E$13:E$14)</f>
        <v>0.83749999999999991</v>
      </c>
      <c r="U27" s="24">
        <f>AVERAGE('Marketing &amp; Sales'!E$16:E$17)</f>
        <v>0.83749999999999991</v>
      </c>
      <c r="V27" s="24">
        <f>AVERAGE('Marketing &amp; Sales'!E$19:E$20)</f>
        <v>0.60000000000000009</v>
      </c>
      <c r="W27" s="24">
        <f>AVERAGE('Marketing &amp; Sales'!E$22:E$23)</f>
        <v>0.85000000000000009</v>
      </c>
      <c r="X27" s="24">
        <f>AVERAGE('Marketing &amp; Sales'!E$25:E$26)</f>
        <v>0.625</v>
      </c>
      <c r="Y27" s="22">
        <f xml:space="preserve"> AVERAGE('Marketing &amp; Sales'!E$6:E$8)</f>
        <v>0.8666666666666667</v>
      </c>
      <c r="Z27" s="3"/>
      <c r="AA27" s="1"/>
    </row>
    <row r="28" spans="1:27" x14ac:dyDescent="0.25">
      <c r="A28" s="3"/>
      <c r="B28" s="3"/>
      <c r="C28" s="48"/>
      <c r="D28" s="48"/>
      <c r="E28" s="51"/>
      <c r="F28" s="51"/>
      <c r="G28" s="54"/>
      <c r="H28" s="54"/>
      <c r="I28" s="51"/>
      <c r="J28" s="56"/>
      <c r="K28" s="59"/>
      <c r="L28" s="60"/>
      <c r="M28" s="79"/>
      <c r="N28" s="79"/>
      <c r="O28" s="3"/>
      <c r="P28" s="3"/>
      <c r="Q28" s="3"/>
      <c r="R28" s="39"/>
      <c r="S28" s="25"/>
      <c r="T28" s="25"/>
      <c r="U28" s="25"/>
      <c r="V28" s="25"/>
      <c r="W28" s="25"/>
      <c r="X28" s="25"/>
      <c r="Y28" s="23"/>
      <c r="Z28" s="3"/>
      <c r="AA28" s="1"/>
    </row>
    <row r="29" spans="1:27" x14ac:dyDescent="0.25">
      <c r="A29" s="3"/>
      <c r="B29" s="3"/>
      <c r="C29" s="48"/>
      <c r="D29" s="48"/>
      <c r="E29" s="51"/>
      <c r="F29" s="51"/>
      <c r="G29" s="54"/>
      <c r="H29" s="54"/>
      <c r="I29" s="51"/>
      <c r="J29" s="56"/>
      <c r="K29" s="59"/>
      <c r="L29" s="60"/>
      <c r="M29" s="79"/>
      <c r="N29" s="79"/>
      <c r="O29" s="3"/>
      <c r="P29" s="3"/>
      <c r="Q29" s="3"/>
      <c r="R29" s="34" t="s">
        <v>17</v>
      </c>
      <c r="S29" s="24">
        <f>AVERAGE(Service!E$10:E$11)</f>
        <v>0.85000000000000009</v>
      </c>
      <c r="T29" s="24">
        <f>AVERAGE(Service!E$13:E$14)</f>
        <v>0.85</v>
      </c>
      <c r="U29" s="24">
        <f>AVERAGE(Service!E$16:E$17)</f>
        <v>0.83749999999999991</v>
      </c>
      <c r="V29" s="24">
        <f>AVERAGE(Service!E$19:E$20)</f>
        <v>0.55000000000000004</v>
      </c>
      <c r="W29" s="24">
        <f>AVERAGE(Service!E$22:E$23)</f>
        <v>0.72499999999999998</v>
      </c>
      <c r="X29" s="24">
        <f>AVERAGE(Service!E$25:E$26)</f>
        <v>0.7</v>
      </c>
      <c r="Y29" s="22">
        <f xml:space="preserve"> AVERAGE(Service!E$6:E$8)</f>
        <v>0.68333333333333346</v>
      </c>
      <c r="Z29" s="3"/>
      <c r="AA29" s="1"/>
    </row>
    <row r="30" spans="1:27" x14ac:dyDescent="0.25">
      <c r="A30" s="3"/>
      <c r="B30" s="3"/>
      <c r="C30" s="48"/>
      <c r="D30" s="48"/>
      <c r="E30" s="51"/>
      <c r="F30" s="51"/>
      <c r="G30" s="54"/>
      <c r="H30" s="54"/>
      <c r="I30" s="51"/>
      <c r="J30" s="56"/>
      <c r="K30" s="61"/>
      <c r="L30" s="62"/>
      <c r="M30" s="79"/>
      <c r="N30" s="79"/>
      <c r="O30" s="3"/>
      <c r="P30" s="3"/>
      <c r="Q30" s="3"/>
      <c r="R30" s="35"/>
      <c r="S30" s="25"/>
      <c r="T30" s="25"/>
      <c r="U30" s="25"/>
      <c r="V30" s="25"/>
      <c r="W30" s="25"/>
      <c r="X30" s="25"/>
      <c r="Y30" s="23"/>
      <c r="Z30" s="3"/>
      <c r="AA30" s="1"/>
    </row>
    <row r="31" spans="1:27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2"/>
      <c r="O31" s="3"/>
      <c r="P31" s="3"/>
      <c r="Q31" s="3"/>
      <c r="R31" s="20" t="s">
        <v>90</v>
      </c>
      <c r="S31" s="22">
        <f t="shared" ref="S31:Y31" si="1">AVERAGE(S21:S30)</f>
        <v>0.76</v>
      </c>
      <c r="T31" s="22">
        <f t="shared" si="1"/>
        <v>0.92249999999999999</v>
      </c>
      <c r="U31" s="22">
        <f t="shared" si="1"/>
        <v>0.74499999999999988</v>
      </c>
      <c r="V31" s="22">
        <f t="shared" si="1"/>
        <v>0.625</v>
      </c>
      <c r="W31" s="22">
        <f t="shared" si="1"/>
        <v>0.61499999999999999</v>
      </c>
      <c r="X31" s="22">
        <f t="shared" si="1"/>
        <v>0.76500000000000001</v>
      </c>
      <c r="Y31" s="22">
        <f t="shared" si="1"/>
        <v>0.86166666666666669</v>
      </c>
      <c r="Z31" s="3"/>
      <c r="AA31" s="1"/>
    </row>
    <row r="32" spans="1:27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2"/>
      <c r="O32" s="3"/>
      <c r="P32" s="3"/>
      <c r="Q32" s="3"/>
      <c r="R32" s="21"/>
      <c r="S32" s="23"/>
      <c r="T32" s="23"/>
      <c r="U32" s="23"/>
      <c r="V32" s="23"/>
      <c r="W32" s="23"/>
      <c r="X32" s="23"/>
      <c r="Y32" s="23"/>
      <c r="Z32" s="3"/>
      <c r="AA32" s="1"/>
    </row>
    <row r="33" spans="1:27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2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</sheetData>
  <mergeCells count="116">
    <mergeCell ref="M7:N18"/>
    <mergeCell ref="E4:J5"/>
    <mergeCell ref="C19:D30"/>
    <mergeCell ref="E19:F30"/>
    <mergeCell ref="G19:H30"/>
    <mergeCell ref="I19:J30"/>
    <mergeCell ref="K19:L30"/>
    <mergeCell ref="C7:L8"/>
    <mergeCell ref="C9:L10"/>
    <mergeCell ref="C11:L12"/>
    <mergeCell ref="C13:L14"/>
    <mergeCell ref="C15:L16"/>
    <mergeCell ref="C17:L18"/>
    <mergeCell ref="M19:N30"/>
    <mergeCell ref="R5:R6"/>
    <mergeCell ref="R19:R20"/>
    <mergeCell ref="R21:R22"/>
    <mergeCell ref="Y11:Y12"/>
    <mergeCell ref="S13:S14"/>
    <mergeCell ref="T13:T14"/>
    <mergeCell ref="U13:U14"/>
    <mergeCell ref="V13:V14"/>
    <mergeCell ref="W13:W14"/>
    <mergeCell ref="X13:X14"/>
    <mergeCell ref="Y13:Y14"/>
    <mergeCell ref="S15:S16"/>
    <mergeCell ref="T15:T16"/>
    <mergeCell ref="U15:U16"/>
    <mergeCell ref="R7:R8"/>
    <mergeCell ref="R9:R10"/>
    <mergeCell ref="R11:R12"/>
    <mergeCell ref="R13:R14"/>
    <mergeCell ref="R15:R16"/>
    <mergeCell ref="X21:X22"/>
    <mergeCell ref="Y21:Y22"/>
    <mergeCell ref="Y9:Y10"/>
    <mergeCell ref="S11:S12"/>
    <mergeCell ref="T11:T12"/>
    <mergeCell ref="R29:R30"/>
    <mergeCell ref="S23:S24"/>
    <mergeCell ref="T23:T24"/>
    <mergeCell ref="U23:U24"/>
    <mergeCell ref="V23:V24"/>
    <mergeCell ref="W23:W24"/>
    <mergeCell ref="X23:X24"/>
    <mergeCell ref="S25:S26"/>
    <mergeCell ref="T25:T26"/>
    <mergeCell ref="U25:U26"/>
    <mergeCell ref="V25:V26"/>
    <mergeCell ref="X25:X26"/>
    <mergeCell ref="Y25:Y26"/>
    <mergeCell ref="S27:S28"/>
    <mergeCell ref="T27:T28"/>
    <mergeCell ref="U27:U28"/>
    <mergeCell ref="V27:V28"/>
    <mergeCell ref="W27:W28"/>
    <mergeCell ref="X27:X28"/>
    <mergeCell ref="R25:R26"/>
    <mergeCell ref="R27:R28"/>
    <mergeCell ref="S21:S22"/>
    <mergeCell ref="T21:T22"/>
    <mergeCell ref="U21:U22"/>
    <mergeCell ref="V21:V22"/>
    <mergeCell ref="W21:W22"/>
    <mergeCell ref="Y31:Y32"/>
    <mergeCell ref="R31:R32"/>
    <mergeCell ref="S31:S32"/>
    <mergeCell ref="T31:T32"/>
    <mergeCell ref="U31:U32"/>
    <mergeCell ref="V31:V32"/>
    <mergeCell ref="W31:W32"/>
    <mergeCell ref="X31:X32"/>
    <mergeCell ref="W25:W26"/>
    <mergeCell ref="R23:R24"/>
    <mergeCell ref="Y23:Y24"/>
    <mergeCell ref="X29:X30"/>
    <mergeCell ref="Y27:Y28"/>
    <mergeCell ref="Y29:Y30"/>
    <mergeCell ref="S29:S30"/>
    <mergeCell ref="T29:T30"/>
    <mergeCell ref="U29:U30"/>
    <mergeCell ref="V29:V30"/>
    <mergeCell ref="W29:W30"/>
    <mergeCell ref="S5:X5"/>
    <mergeCell ref="Y5:Y6"/>
    <mergeCell ref="Y19:Y20"/>
    <mergeCell ref="T9:T10"/>
    <mergeCell ref="S9:S10"/>
    <mergeCell ref="Y7:Y8"/>
    <mergeCell ref="X7:X8"/>
    <mergeCell ref="W7:W8"/>
    <mergeCell ref="V7:V8"/>
    <mergeCell ref="U7:U8"/>
    <mergeCell ref="T7:T8"/>
    <mergeCell ref="S7:S8"/>
    <mergeCell ref="U9:U10"/>
    <mergeCell ref="V9:V10"/>
    <mergeCell ref="V15:V16"/>
    <mergeCell ref="W15:W16"/>
    <mergeCell ref="W9:W10"/>
    <mergeCell ref="X9:X10"/>
    <mergeCell ref="U11:U12"/>
    <mergeCell ref="V11:V12"/>
    <mergeCell ref="X11:X12"/>
    <mergeCell ref="Y15:Y16"/>
    <mergeCell ref="S19:X19"/>
    <mergeCell ref="Y17:Y18"/>
    <mergeCell ref="R17:R18"/>
    <mergeCell ref="S17:S18"/>
    <mergeCell ref="T17:T18"/>
    <mergeCell ref="U17:U18"/>
    <mergeCell ref="V17:V18"/>
    <mergeCell ref="W17:W18"/>
    <mergeCell ref="X17:X18"/>
    <mergeCell ref="X15:X16"/>
    <mergeCell ref="W11:W12"/>
  </mergeCells>
  <conditionalFormatting sqref="S17:S18">
    <cfRule type="expression" dxfId="0" priority="2">
      <formula>"AND(($S$17:$Y$18,$Y$7:$Y$16)&lt;($S$31:$Y$32,$Y$21:$Y$30))"</formula>
    </cfRule>
  </conditionalFormatting>
  <conditionalFormatting sqref="S17:Y18 Y7:Y16 Y21:Y32 S31:X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EFF82-1B91-45CB-8B3E-E1CC1AC0D4A0}">
  <sheetPr codeName="Sheet2"/>
  <dimension ref="A1:Y30"/>
  <sheetViews>
    <sheetView tabSelected="1" zoomScaleNormal="100" workbookViewId="0"/>
  </sheetViews>
  <sheetFormatPr defaultRowHeight="15" x14ac:dyDescent="0.25"/>
  <cols>
    <col min="3" max="5" width="25.7109375" customWidth="1"/>
  </cols>
  <sheetData>
    <row r="1" spans="1:2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x14ac:dyDescent="0.25">
      <c r="A2" s="7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ht="20.100000000000001" customHeight="1" x14ac:dyDescent="0.25">
      <c r="A5" s="3"/>
      <c r="B5" s="3"/>
      <c r="C5" s="13" t="s">
        <v>23</v>
      </c>
      <c r="D5" s="15" t="s">
        <v>24</v>
      </c>
      <c r="E5" s="15" t="s">
        <v>25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ht="20.100000000000001" customHeight="1" x14ac:dyDescent="0.25">
      <c r="A6" s="3"/>
      <c r="B6" s="3"/>
      <c r="C6" s="10" t="s">
        <v>59</v>
      </c>
      <c r="D6" s="9">
        <v>0.5</v>
      </c>
      <c r="E6" s="9">
        <v>0.7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ht="20.100000000000001" customHeight="1" x14ac:dyDescent="0.25">
      <c r="A7" s="3"/>
      <c r="B7" s="3"/>
      <c r="C7" s="10" t="s">
        <v>52</v>
      </c>
      <c r="D7" s="9">
        <f>(120-48)/(120-24)</f>
        <v>0.75</v>
      </c>
      <c r="E7" s="9">
        <f>(120-36)/(120-24)</f>
        <v>0.875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ht="20.100000000000001" customHeight="1" x14ac:dyDescent="0.25">
      <c r="A8" s="3"/>
      <c r="B8" s="3"/>
      <c r="C8" s="10" t="s">
        <v>54</v>
      </c>
      <c r="D8" s="9">
        <v>0.9</v>
      </c>
      <c r="E8" s="9">
        <v>0.98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ht="20.100000000000001" customHeight="1" x14ac:dyDescent="0.25">
      <c r="A9" s="3"/>
      <c r="B9" s="3"/>
      <c r="C9" s="83" t="s">
        <v>3</v>
      </c>
      <c r="D9" s="84"/>
      <c r="E9" s="85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ht="20.100000000000001" customHeight="1" x14ac:dyDescent="0.25">
      <c r="A10" s="3"/>
      <c r="B10" s="3"/>
      <c r="C10" s="10" t="s">
        <v>26</v>
      </c>
      <c r="D10" s="9">
        <v>0.5</v>
      </c>
      <c r="E10" s="9">
        <v>0.8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ht="20.100000000000001" customHeight="1" x14ac:dyDescent="0.25">
      <c r="A11" s="3"/>
      <c r="B11" s="3"/>
      <c r="C11" s="10" t="s">
        <v>27</v>
      </c>
      <c r="D11" s="9">
        <v>0.25</v>
      </c>
      <c r="E11" s="9">
        <v>0.7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ht="20.100000000000001" customHeight="1" x14ac:dyDescent="0.25">
      <c r="A12" s="3"/>
      <c r="B12" s="3"/>
      <c r="C12" s="80" t="s">
        <v>4</v>
      </c>
      <c r="D12" s="81"/>
      <c r="E12" s="82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ht="20.100000000000001" customHeight="1" x14ac:dyDescent="0.25">
      <c r="A13" s="3"/>
      <c r="B13" s="3"/>
      <c r="C13" s="10" t="s">
        <v>28</v>
      </c>
      <c r="D13" s="9">
        <v>0.8</v>
      </c>
      <c r="E13" s="9">
        <v>0.95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20.100000000000001" customHeight="1" x14ac:dyDescent="0.25">
      <c r="A14" s="3"/>
      <c r="B14" s="3"/>
      <c r="C14" s="10" t="s">
        <v>29</v>
      </c>
      <c r="D14" s="9">
        <v>0.85</v>
      </c>
      <c r="E14" s="9">
        <v>1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ht="20.100000000000001" customHeight="1" x14ac:dyDescent="0.25">
      <c r="A15" s="3"/>
      <c r="B15" s="3"/>
      <c r="C15" s="80" t="s">
        <v>5</v>
      </c>
      <c r="D15" s="81"/>
      <c r="E15" s="82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20.100000000000001" customHeight="1" x14ac:dyDescent="0.25">
      <c r="A16" s="3"/>
      <c r="B16" s="3"/>
      <c r="C16" s="10" t="s">
        <v>51</v>
      </c>
      <c r="D16" s="9">
        <v>0.3</v>
      </c>
      <c r="E16" s="9">
        <v>0.7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20.100000000000001" customHeight="1" x14ac:dyDescent="0.25">
      <c r="A17" s="3"/>
      <c r="B17" s="3"/>
      <c r="C17" s="10" t="s">
        <v>86</v>
      </c>
      <c r="D17" s="9">
        <v>0.95</v>
      </c>
      <c r="E17" s="9">
        <v>0.8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20.100000000000001" customHeight="1" x14ac:dyDescent="0.25">
      <c r="A18" s="3"/>
      <c r="B18" s="3"/>
      <c r="C18" s="80" t="s">
        <v>6</v>
      </c>
      <c r="D18" s="81"/>
      <c r="E18" s="82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20.100000000000001" customHeight="1" x14ac:dyDescent="0.25">
      <c r="A19" s="3"/>
      <c r="B19" s="3"/>
      <c r="C19" s="10" t="s">
        <v>30</v>
      </c>
      <c r="D19" s="9">
        <v>0.4</v>
      </c>
      <c r="E19" s="9">
        <v>0.8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20.100000000000001" customHeight="1" x14ac:dyDescent="0.25">
      <c r="A20" s="3"/>
      <c r="B20" s="3"/>
      <c r="C20" s="10" t="s">
        <v>31</v>
      </c>
      <c r="D20" s="9">
        <v>0.7</v>
      </c>
      <c r="E20" s="9">
        <v>0.9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20.100000000000001" customHeight="1" x14ac:dyDescent="0.25">
      <c r="A21" s="3"/>
      <c r="B21" s="3"/>
      <c r="C21" s="80" t="s">
        <v>7</v>
      </c>
      <c r="D21" s="81"/>
      <c r="E21" s="82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20.100000000000001" customHeight="1" x14ac:dyDescent="0.25">
      <c r="A22" s="3"/>
      <c r="B22" s="3"/>
      <c r="C22" s="10" t="s">
        <v>32</v>
      </c>
      <c r="D22" s="9">
        <v>0.7</v>
      </c>
      <c r="E22" s="9">
        <v>0.5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20.100000000000001" customHeight="1" x14ac:dyDescent="0.25">
      <c r="A23" s="3"/>
      <c r="B23" s="3"/>
      <c r="C23" s="10" t="s">
        <v>33</v>
      </c>
      <c r="D23" s="9">
        <v>0.6</v>
      </c>
      <c r="E23" s="9">
        <v>0.3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20.100000000000001" customHeight="1" x14ac:dyDescent="0.25">
      <c r="A24" s="3"/>
      <c r="B24" s="3"/>
      <c r="C24" s="80" t="s">
        <v>8</v>
      </c>
      <c r="D24" s="81"/>
      <c r="E24" s="82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30" x14ac:dyDescent="0.25">
      <c r="A25" s="3"/>
      <c r="B25" s="3"/>
      <c r="C25" s="16" t="s">
        <v>34</v>
      </c>
      <c r="D25" s="9">
        <v>0.5</v>
      </c>
      <c r="E25" s="9">
        <v>0.7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ht="27" customHeight="1" x14ac:dyDescent="0.25">
      <c r="A26" s="3"/>
      <c r="B26" s="3"/>
      <c r="C26" s="16" t="s">
        <v>61</v>
      </c>
      <c r="D26" s="9">
        <v>0.4</v>
      </c>
      <c r="E26" s="9">
        <v>0.95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</sheetData>
  <mergeCells count="6">
    <mergeCell ref="C21:E21"/>
    <mergeCell ref="C24:E24"/>
    <mergeCell ref="C9:E9"/>
    <mergeCell ref="C15:E15"/>
    <mergeCell ref="C18:E18"/>
    <mergeCell ref="C12:E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10</xdr:col>
                <xdr:colOff>371475</xdr:colOff>
                <xdr:row>14</xdr:row>
                <xdr:rowOff>152400</xdr:rowOff>
              </from>
              <to>
                <xdr:col>13</xdr:col>
                <xdr:colOff>552450</xdr:colOff>
                <xdr:row>16</xdr:row>
                <xdr:rowOff>142875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2D62E-8750-49FA-9D55-C1EDA473230B}">
  <sheetPr codeName="Sheet3"/>
  <dimension ref="A1:Y34"/>
  <sheetViews>
    <sheetView zoomScaleNormal="100" workbookViewId="0"/>
  </sheetViews>
  <sheetFormatPr defaultRowHeight="15" x14ac:dyDescent="0.25"/>
  <cols>
    <col min="3" max="5" width="25.7109375" customWidth="1"/>
    <col min="24" max="24" width="25.7109375" customWidth="1"/>
  </cols>
  <sheetData>
    <row r="1" spans="1:2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x14ac:dyDescent="0.25">
      <c r="A2" s="7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ht="20.100000000000001" customHeight="1" x14ac:dyDescent="0.25">
      <c r="A5" s="3"/>
      <c r="B5" s="3"/>
      <c r="C5" s="13" t="s">
        <v>23</v>
      </c>
      <c r="D5" s="15" t="s">
        <v>24</v>
      </c>
      <c r="E5" s="15" t="s">
        <v>25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ht="20.100000000000001" customHeight="1" x14ac:dyDescent="0.25">
      <c r="A6" s="3"/>
      <c r="B6" s="3"/>
      <c r="C6" s="10" t="s">
        <v>55</v>
      </c>
      <c r="D6" s="9">
        <v>0.75</v>
      </c>
      <c r="E6" s="9">
        <v>1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ht="20.100000000000001" customHeight="1" x14ac:dyDescent="0.25">
      <c r="A7" s="3"/>
      <c r="B7" s="3"/>
      <c r="C7" s="10" t="s">
        <v>56</v>
      </c>
      <c r="D7" s="9">
        <v>0.7</v>
      </c>
      <c r="E7" s="9">
        <v>0.9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ht="20.100000000000001" customHeight="1" x14ac:dyDescent="0.25">
      <c r="A8" s="3"/>
      <c r="B8" s="3"/>
      <c r="C8" s="10" t="s">
        <v>57</v>
      </c>
      <c r="D8" s="9">
        <v>0.9</v>
      </c>
      <c r="E8" s="9">
        <v>1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ht="20.100000000000001" customHeight="1" x14ac:dyDescent="0.25">
      <c r="A9" s="3"/>
      <c r="B9" s="3"/>
      <c r="C9" s="83" t="s">
        <v>3</v>
      </c>
      <c r="D9" s="84"/>
      <c r="E9" s="85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ht="20.100000000000001" customHeight="1" x14ac:dyDescent="0.25">
      <c r="A10" s="3"/>
      <c r="B10" s="3"/>
      <c r="C10" s="10" t="s">
        <v>62</v>
      </c>
      <c r="D10" s="9">
        <v>0.65</v>
      </c>
      <c r="E10" s="9">
        <v>0.9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ht="20.100000000000001" customHeight="1" x14ac:dyDescent="0.25">
      <c r="A11" s="3"/>
      <c r="B11" s="3"/>
      <c r="C11" s="10" t="s">
        <v>63</v>
      </c>
      <c r="D11" s="9">
        <v>0.6</v>
      </c>
      <c r="E11" s="9">
        <v>0.8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ht="20.100000000000001" customHeight="1" x14ac:dyDescent="0.25">
      <c r="A12" s="3"/>
      <c r="B12" s="3"/>
      <c r="C12" s="80" t="s">
        <v>4</v>
      </c>
      <c r="D12" s="81"/>
      <c r="E12" s="82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ht="20.100000000000001" customHeight="1" x14ac:dyDescent="0.25">
      <c r="A13" s="3"/>
      <c r="B13" s="3"/>
      <c r="C13" s="10" t="s">
        <v>29</v>
      </c>
      <c r="D13" s="9">
        <v>0.9</v>
      </c>
      <c r="E13" s="9">
        <v>1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20.100000000000001" customHeight="1" x14ac:dyDescent="0.25">
      <c r="A14" s="3"/>
      <c r="B14" s="3"/>
      <c r="C14" s="10" t="s">
        <v>28</v>
      </c>
      <c r="D14" s="9">
        <v>0.9</v>
      </c>
      <c r="E14" s="9">
        <v>0.95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ht="20.100000000000001" customHeight="1" x14ac:dyDescent="0.25">
      <c r="A15" s="3"/>
      <c r="B15" s="3"/>
      <c r="C15" s="80" t="s">
        <v>5</v>
      </c>
      <c r="D15" s="81"/>
      <c r="E15" s="82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20.100000000000001" customHeight="1" x14ac:dyDescent="0.25">
      <c r="A16" s="3"/>
      <c r="B16" s="3"/>
      <c r="C16" s="14" t="s">
        <v>64</v>
      </c>
      <c r="D16" s="9">
        <v>0.4</v>
      </c>
      <c r="E16" s="9">
        <v>0.7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20.100000000000001" customHeight="1" x14ac:dyDescent="0.25">
      <c r="A17" s="3"/>
      <c r="B17" s="3"/>
      <c r="C17" s="10" t="s">
        <v>69</v>
      </c>
      <c r="D17" s="9">
        <v>0.9</v>
      </c>
      <c r="E17" s="9">
        <v>0.3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20.100000000000001" customHeight="1" x14ac:dyDescent="0.25">
      <c r="A18" s="3"/>
      <c r="B18" s="3"/>
      <c r="C18" s="80" t="s">
        <v>6</v>
      </c>
      <c r="D18" s="81"/>
      <c r="E18" s="82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20.100000000000001" customHeight="1" x14ac:dyDescent="0.25">
      <c r="A19" s="3"/>
      <c r="B19" s="3"/>
      <c r="C19" s="10" t="s">
        <v>65</v>
      </c>
      <c r="D19" s="9">
        <v>0.8</v>
      </c>
      <c r="E19" s="9">
        <v>0.6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20.100000000000001" customHeight="1" x14ac:dyDescent="0.25">
      <c r="A20" s="3"/>
      <c r="B20" s="3"/>
      <c r="C20" s="10"/>
      <c r="D20" s="9">
        <v>0.4</v>
      </c>
      <c r="E20" s="9">
        <v>0.65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20.100000000000001" customHeight="1" x14ac:dyDescent="0.25">
      <c r="A21" s="3"/>
      <c r="B21" s="3"/>
      <c r="C21" s="80" t="s">
        <v>7</v>
      </c>
      <c r="D21" s="81"/>
      <c r="E21" s="82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20.100000000000001" customHeight="1" x14ac:dyDescent="0.25">
      <c r="A22" s="3"/>
      <c r="B22" s="3"/>
      <c r="C22" s="10" t="s">
        <v>66</v>
      </c>
      <c r="D22" s="9">
        <v>0.3</v>
      </c>
      <c r="E22" s="9">
        <v>0.5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20.100000000000001" customHeight="1" x14ac:dyDescent="0.25">
      <c r="A23" s="3"/>
      <c r="B23" s="3"/>
      <c r="C23" s="14" t="s">
        <v>70</v>
      </c>
      <c r="D23" s="9">
        <v>0.2</v>
      </c>
      <c r="E23" s="9">
        <v>0.4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20.100000000000001" customHeight="1" x14ac:dyDescent="0.25">
      <c r="A24" s="3"/>
      <c r="B24" s="3"/>
      <c r="C24" s="80" t="s">
        <v>8</v>
      </c>
      <c r="D24" s="81"/>
      <c r="E24" s="82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30" x14ac:dyDescent="0.25">
      <c r="A25" s="3"/>
      <c r="B25" s="3"/>
      <c r="C25" s="16" t="s">
        <v>34</v>
      </c>
      <c r="D25" s="9">
        <v>0.2</v>
      </c>
      <c r="E25" s="9">
        <v>0.8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ht="26.25" customHeight="1" x14ac:dyDescent="0.25">
      <c r="A26" s="3"/>
      <c r="B26" s="3"/>
      <c r="C26" s="16" t="s">
        <v>71</v>
      </c>
      <c r="D26" s="9">
        <v>0.5</v>
      </c>
      <c r="E26" s="9">
        <v>0.85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4" ht="20.100000000000001" customHeight="1" x14ac:dyDescent="0.25"/>
  </sheetData>
  <mergeCells count="6">
    <mergeCell ref="C24:E24"/>
    <mergeCell ref="C9:E9"/>
    <mergeCell ref="C12:E12"/>
    <mergeCell ref="C15:E15"/>
    <mergeCell ref="C18:E18"/>
    <mergeCell ref="C21:E2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11</xdr:col>
                <xdr:colOff>552450</xdr:colOff>
                <xdr:row>14</xdr:row>
                <xdr:rowOff>114300</xdr:rowOff>
              </from>
              <to>
                <xdr:col>15</xdr:col>
                <xdr:colOff>123825</xdr:colOff>
                <xdr:row>16</xdr:row>
                <xdr:rowOff>104775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C29B-5D93-4531-B06E-87C860D1C508}">
  <sheetPr codeName="Sheet4"/>
  <dimension ref="A1:Y30"/>
  <sheetViews>
    <sheetView workbookViewId="0"/>
  </sheetViews>
  <sheetFormatPr defaultRowHeight="15" x14ac:dyDescent="0.25"/>
  <cols>
    <col min="3" max="5" width="25.7109375" customWidth="1"/>
  </cols>
  <sheetData>
    <row r="1" spans="1:2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x14ac:dyDescent="0.25">
      <c r="A2" s="7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ht="20.100000000000001" customHeight="1" x14ac:dyDescent="0.25">
      <c r="A5" s="3"/>
      <c r="B5" s="3"/>
      <c r="C5" s="13" t="s">
        <v>23</v>
      </c>
      <c r="D5" s="15" t="s">
        <v>24</v>
      </c>
      <c r="E5" s="15" t="s">
        <v>25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ht="20.100000000000001" customHeight="1" x14ac:dyDescent="0.25">
      <c r="A6" s="3"/>
      <c r="B6" s="3"/>
      <c r="C6" s="10" t="s">
        <v>36</v>
      </c>
      <c r="D6" s="8">
        <v>0.9</v>
      </c>
      <c r="E6" s="8">
        <v>0.95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ht="20.100000000000001" customHeight="1" x14ac:dyDescent="0.25">
      <c r="A7" s="3"/>
      <c r="B7" s="3"/>
      <c r="C7" s="10" t="s">
        <v>85</v>
      </c>
      <c r="D7" s="8">
        <v>0.85</v>
      </c>
      <c r="E7" s="8">
        <v>0.95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ht="20.100000000000001" customHeight="1" x14ac:dyDescent="0.25">
      <c r="A8" s="3"/>
      <c r="B8" s="3"/>
      <c r="C8" s="10" t="s">
        <v>38</v>
      </c>
      <c r="D8" s="8">
        <v>0.875</v>
      </c>
      <c r="E8" s="8">
        <v>0.92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ht="20.100000000000001" customHeight="1" x14ac:dyDescent="0.25">
      <c r="A9" s="3"/>
      <c r="B9" s="3"/>
      <c r="C9" s="83" t="s">
        <v>3</v>
      </c>
      <c r="D9" s="84"/>
      <c r="E9" s="85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ht="20.100000000000001" customHeight="1" x14ac:dyDescent="0.25">
      <c r="A10" s="3"/>
      <c r="B10" s="3"/>
      <c r="C10" s="10" t="s">
        <v>26</v>
      </c>
      <c r="D10" s="9">
        <v>0.3</v>
      </c>
      <c r="E10" s="9">
        <v>0.8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ht="20.100000000000001" customHeight="1" x14ac:dyDescent="0.25">
      <c r="A11" s="3"/>
      <c r="B11" s="3"/>
      <c r="C11" s="10" t="s">
        <v>72</v>
      </c>
      <c r="D11" s="9">
        <v>0.2</v>
      </c>
      <c r="E11" s="9">
        <v>0.7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ht="20.100000000000001" customHeight="1" x14ac:dyDescent="0.25">
      <c r="A12" s="3"/>
      <c r="B12" s="3"/>
      <c r="C12" s="80" t="s">
        <v>4</v>
      </c>
      <c r="D12" s="81"/>
      <c r="E12" s="82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ht="20.100000000000001" customHeight="1" x14ac:dyDescent="0.25">
      <c r="A13" s="3"/>
      <c r="B13" s="3"/>
      <c r="C13" s="10" t="s">
        <v>29</v>
      </c>
      <c r="D13" s="9">
        <v>0.8</v>
      </c>
      <c r="E13" s="9">
        <v>0.95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20.100000000000001" customHeight="1" x14ac:dyDescent="0.25">
      <c r="A14" s="3"/>
      <c r="B14" s="3"/>
      <c r="C14" s="10" t="s">
        <v>28</v>
      </c>
      <c r="D14" s="9">
        <v>0.875</v>
      </c>
      <c r="E14" s="9">
        <v>1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ht="20.100000000000001" customHeight="1" x14ac:dyDescent="0.25">
      <c r="A15" s="3"/>
      <c r="B15" s="3"/>
      <c r="C15" s="80" t="s">
        <v>5</v>
      </c>
      <c r="D15" s="81"/>
      <c r="E15" s="82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20.100000000000001" customHeight="1" x14ac:dyDescent="0.25">
      <c r="A16" s="3"/>
      <c r="B16" s="3"/>
      <c r="C16" s="10" t="s">
        <v>51</v>
      </c>
      <c r="D16" s="9">
        <v>0.3</v>
      </c>
      <c r="E16" s="9">
        <v>0.8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20.100000000000001" customHeight="1" x14ac:dyDescent="0.25">
      <c r="A17" s="3"/>
      <c r="B17" s="3"/>
      <c r="C17" s="10" t="s">
        <v>86</v>
      </c>
      <c r="D17" s="9">
        <v>0.9</v>
      </c>
      <c r="E17" s="9">
        <v>0.8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20.100000000000001" customHeight="1" x14ac:dyDescent="0.25">
      <c r="A18" s="3"/>
      <c r="B18" s="3"/>
      <c r="C18" s="80" t="s">
        <v>6</v>
      </c>
      <c r="D18" s="81"/>
      <c r="E18" s="82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20.100000000000001" customHeight="1" x14ac:dyDescent="0.25">
      <c r="A19" s="3"/>
      <c r="B19" s="3"/>
      <c r="C19" s="10" t="s">
        <v>73</v>
      </c>
      <c r="D19" s="9">
        <v>0.3</v>
      </c>
      <c r="E19" s="9">
        <v>0.7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20.100000000000001" customHeight="1" x14ac:dyDescent="0.25">
      <c r="A20" s="3"/>
      <c r="B20" s="3"/>
      <c r="C20" s="10" t="s">
        <v>74</v>
      </c>
      <c r="D20" s="9">
        <v>0.8</v>
      </c>
      <c r="E20" s="9">
        <v>0.3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20.100000000000001" customHeight="1" x14ac:dyDescent="0.25">
      <c r="A21" s="3"/>
      <c r="B21" s="3"/>
      <c r="C21" s="80" t="s">
        <v>7</v>
      </c>
      <c r="D21" s="81"/>
      <c r="E21" s="82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20.100000000000001" customHeight="1" x14ac:dyDescent="0.25">
      <c r="A22" s="3"/>
      <c r="B22" s="3"/>
      <c r="C22" s="10" t="s">
        <v>32</v>
      </c>
      <c r="D22" s="9">
        <v>0.7</v>
      </c>
      <c r="E22" s="9">
        <v>0.5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20.100000000000001" customHeight="1" x14ac:dyDescent="0.25">
      <c r="A23" s="3"/>
      <c r="B23" s="3"/>
      <c r="C23" s="14" t="s">
        <v>50</v>
      </c>
      <c r="D23" s="9">
        <v>0.2</v>
      </c>
      <c r="E23" s="9">
        <v>0.8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20.100000000000001" customHeight="1" x14ac:dyDescent="0.25">
      <c r="A24" s="3"/>
      <c r="B24" s="3"/>
      <c r="C24" s="80" t="s">
        <v>8</v>
      </c>
      <c r="D24" s="81"/>
      <c r="E24" s="82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30" x14ac:dyDescent="0.25">
      <c r="A25" s="3"/>
      <c r="B25" s="3"/>
      <c r="C25" s="16" t="s">
        <v>34</v>
      </c>
      <c r="D25" s="9">
        <v>0.3</v>
      </c>
      <c r="E25" s="9">
        <v>0.75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ht="27.75" customHeight="1" x14ac:dyDescent="0.25">
      <c r="A26" s="3"/>
      <c r="B26" s="3"/>
      <c r="C26" s="16" t="s">
        <v>35</v>
      </c>
      <c r="D26" s="9">
        <v>0.4</v>
      </c>
      <c r="E26" s="9">
        <v>0.95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</sheetData>
  <mergeCells count="6">
    <mergeCell ref="C24:E24"/>
    <mergeCell ref="C9:E9"/>
    <mergeCell ref="C12:E12"/>
    <mergeCell ref="C15:E15"/>
    <mergeCell ref="C18:E18"/>
    <mergeCell ref="C21:E2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12</xdr:col>
                <xdr:colOff>19050</xdr:colOff>
                <xdr:row>14</xdr:row>
                <xdr:rowOff>133350</xdr:rowOff>
              </from>
              <to>
                <xdr:col>15</xdr:col>
                <xdr:colOff>200025</xdr:colOff>
                <xdr:row>16</xdr:row>
                <xdr:rowOff>123825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2FA76-3535-4F81-B5AD-17EB306FCB47}">
  <sheetPr codeName="Sheet5"/>
  <dimension ref="A1:Y30"/>
  <sheetViews>
    <sheetView workbookViewId="0"/>
  </sheetViews>
  <sheetFormatPr defaultRowHeight="15" x14ac:dyDescent="0.25"/>
  <cols>
    <col min="3" max="3" width="27.28515625" bestFit="1" customWidth="1"/>
    <col min="4" max="5" width="25.7109375" customWidth="1"/>
  </cols>
  <sheetData>
    <row r="1" spans="1:25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x14ac:dyDescent="0.25">
      <c r="A2" s="12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</row>
    <row r="3" spans="1:2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ht="20.100000000000001" customHeight="1" x14ac:dyDescent="0.25">
      <c r="A5" s="3"/>
      <c r="B5" s="3"/>
      <c r="C5" s="13" t="s">
        <v>23</v>
      </c>
      <c r="D5" s="15" t="s">
        <v>24</v>
      </c>
      <c r="E5" s="15" t="s">
        <v>25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ht="20.100000000000001" customHeight="1" x14ac:dyDescent="0.25">
      <c r="A6" s="3"/>
      <c r="B6" s="3"/>
      <c r="C6" s="10" t="s">
        <v>39</v>
      </c>
      <c r="D6" s="9">
        <v>0.3</v>
      </c>
      <c r="E6" s="9">
        <v>0.8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ht="20.100000000000001" customHeight="1" x14ac:dyDescent="0.25">
      <c r="A7" s="3"/>
      <c r="B7" s="3"/>
      <c r="C7" s="10" t="s">
        <v>40</v>
      </c>
      <c r="D7" s="9">
        <v>0.6</v>
      </c>
      <c r="E7" s="9">
        <v>0.9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ht="20.100000000000001" customHeight="1" x14ac:dyDescent="0.25">
      <c r="A8" s="3"/>
      <c r="B8" s="3"/>
      <c r="C8" s="10" t="s">
        <v>41</v>
      </c>
      <c r="D8" s="9">
        <v>0.8</v>
      </c>
      <c r="E8" s="9">
        <v>0.9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ht="20.100000000000001" customHeight="1" x14ac:dyDescent="0.25">
      <c r="A9" s="3"/>
      <c r="B9" s="3"/>
      <c r="C9" s="83" t="s">
        <v>3</v>
      </c>
      <c r="D9" s="84"/>
      <c r="E9" s="85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ht="20.100000000000001" customHeight="1" x14ac:dyDescent="0.25">
      <c r="A10" s="3"/>
      <c r="B10" s="3"/>
      <c r="C10" s="10" t="s">
        <v>75</v>
      </c>
      <c r="D10" s="9">
        <v>0.3</v>
      </c>
      <c r="E10" s="9">
        <v>0.7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ht="20.100000000000001" customHeight="1" x14ac:dyDescent="0.25">
      <c r="A11" s="3"/>
      <c r="B11" s="3"/>
      <c r="C11" s="10" t="s">
        <v>76</v>
      </c>
      <c r="D11" s="9">
        <v>0.3</v>
      </c>
      <c r="E11" s="9">
        <v>0.5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ht="20.100000000000001" customHeight="1" x14ac:dyDescent="0.25">
      <c r="A12" s="3"/>
      <c r="B12" s="3"/>
      <c r="C12" s="80" t="s">
        <v>4</v>
      </c>
      <c r="D12" s="81"/>
      <c r="E12" s="82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ht="20.100000000000001" customHeight="1" x14ac:dyDescent="0.25">
      <c r="A13" s="3"/>
      <c r="B13" s="3"/>
      <c r="C13" s="10" t="s">
        <v>29</v>
      </c>
      <c r="D13" s="9">
        <v>0.85</v>
      </c>
      <c r="E13" s="9">
        <v>0.97499999999999998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20.100000000000001" customHeight="1" x14ac:dyDescent="0.25">
      <c r="A14" s="3"/>
      <c r="B14" s="3"/>
      <c r="C14" s="10" t="s">
        <v>67</v>
      </c>
      <c r="D14" s="9">
        <v>0.3</v>
      </c>
      <c r="E14" s="9">
        <v>0.7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ht="20.100000000000001" customHeight="1" x14ac:dyDescent="0.25">
      <c r="A15" s="3"/>
      <c r="B15" s="3"/>
      <c r="C15" s="80" t="s">
        <v>5</v>
      </c>
      <c r="D15" s="81"/>
      <c r="E15" s="82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20.100000000000001" customHeight="1" x14ac:dyDescent="0.25">
      <c r="A16" s="3"/>
      <c r="B16" s="3"/>
      <c r="C16" s="10" t="s">
        <v>51</v>
      </c>
      <c r="D16" s="9">
        <v>0.2</v>
      </c>
      <c r="E16" s="9">
        <v>0.7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30" x14ac:dyDescent="0.25">
      <c r="A17" s="3"/>
      <c r="B17" s="3"/>
      <c r="C17" s="18" t="s">
        <v>88</v>
      </c>
      <c r="D17" s="9">
        <v>0.9</v>
      </c>
      <c r="E17" s="9">
        <v>0.97499999999999998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20.100000000000001" customHeight="1" x14ac:dyDescent="0.25">
      <c r="A18" s="3"/>
      <c r="B18" s="3"/>
      <c r="C18" s="80" t="s">
        <v>6</v>
      </c>
      <c r="D18" s="81"/>
      <c r="E18" s="82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20.100000000000001" customHeight="1" x14ac:dyDescent="0.25">
      <c r="A19" s="3"/>
      <c r="B19" s="3"/>
      <c r="C19" s="10" t="s">
        <v>77</v>
      </c>
      <c r="D19" s="17">
        <v>0.3</v>
      </c>
      <c r="E19" s="17">
        <v>0.8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20.100000000000001" customHeight="1" x14ac:dyDescent="0.25">
      <c r="A20" s="3"/>
      <c r="B20" s="3"/>
      <c r="C20" s="10" t="s">
        <v>78</v>
      </c>
      <c r="D20" s="17">
        <v>0.8</v>
      </c>
      <c r="E20" s="17">
        <v>0.4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20.100000000000001" customHeight="1" x14ac:dyDescent="0.25">
      <c r="A21" s="3"/>
      <c r="B21" s="3"/>
      <c r="C21" s="80" t="s">
        <v>7</v>
      </c>
      <c r="D21" s="81"/>
      <c r="E21" s="82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20.100000000000001" customHeight="1" x14ac:dyDescent="0.25">
      <c r="A22" s="3"/>
      <c r="B22" s="3"/>
      <c r="C22" s="10" t="s">
        <v>79</v>
      </c>
      <c r="D22" s="9">
        <v>0.3</v>
      </c>
      <c r="E22" s="9">
        <v>0.8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20.100000000000001" customHeight="1" x14ac:dyDescent="0.25">
      <c r="A23" s="3"/>
      <c r="B23" s="3"/>
      <c r="C23" s="14" t="s">
        <v>80</v>
      </c>
      <c r="D23" s="9">
        <v>0.5</v>
      </c>
      <c r="E23" s="9">
        <v>0.9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20.100000000000001" customHeight="1" x14ac:dyDescent="0.25">
      <c r="A24" s="3"/>
      <c r="B24" s="3"/>
      <c r="C24" s="80" t="s">
        <v>8</v>
      </c>
      <c r="D24" s="81"/>
      <c r="E24" s="82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30" x14ac:dyDescent="0.25">
      <c r="A25" s="3"/>
      <c r="B25" s="3"/>
      <c r="C25" s="16" t="s">
        <v>34</v>
      </c>
      <c r="D25" s="9">
        <v>0.3</v>
      </c>
      <c r="E25" s="9">
        <v>0.5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ht="28.5" customHeight="1" x14ac:dyDescent="0.25">
      <c r="A26" s="3"/>
      <c r="B26" s="3"/>
      <c r="C26" s="10" t="s">
        <v>42</v>
      </c>
      <c r="D26" s="9">
        <v>0.1</v>
      </c>
      <c r="E26" s="9">
        <v>0.75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</sheetData>
  <mergeCells count="6">
    <mergeCell ref="C24:E24"/>
    <mergeCell ref="C9:E9"/>
    <mergeCell ref="C12:E12"/>
    <mergeCell ref="C15:E15"/>
    <mergeCell ref="C18:E18"/>
    <mergeCell ref="C21:E2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11</xdr:col>
                <xdr:colOff>28575</xdr:colOff>
                <xdr:row>14</xdr:row>
                <xdr:rowOff>209550</xdr:rowOff>
              </from>
              <to>
                <xdr:col>14</xdr:col>
                <xdr:colOff>209550</xdr:colOff>
                <xdr:row>16</xdr:row>
                <xdr:rowOff>200025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341BA-969A-4741-A470-43FEBEFAB8EA}">
  <sheetPr codeName="Sheet6"/>
  <dimension ref="A1:Y30"/>
  <sheetViews>
    <sheetView zoomScaleNormal="100" workbookViewId="0"/>
  </sheetViews>
  <sheetFormatPr defaultRowHeight="15" x14ac:dyDescent="0.25"/>
  <cols>
    <col min="1" max="1" width="12.7109375" bestFit="1" customWidth="1"/>
    <col min="3" max="3" width="28.85546875" bestFit="1" customWidth="1"/>
    <col min="4" max="5" width="25.7109375" customWidth="1"/>
  </cols>
  <sheetData>
    <row r="1" spans="1:2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x14ac:dyDescent="0.25">
      <c r="A2" s="7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ht="20.100000000000001" customHeight="1" x14ac:dyDescent="0.25">
      <c r="A5" s="3"/>
      <c r="B5" s="3"/>
      <c r="C5" s="13" t="s">
        <v>23</v>
      </c>
      <c r="D5" s="15" t="s">
        <v>24</v>
      </c>
      <c r="E5" s="15" t="s">
        <v>25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ht="20.100000000000001" customHeight="1" x14ac:dyDescent="0.25">
      <c r="A6" s="3"/>
      <c r="B6" s="3"/>
      <c r="C6" s="10" t="s">
        <v>58</v>
      </c>
      <c r="D6" s="9">
        <v>0.3</v>
      </c>
      <c r="E6" s="9">
        <v>0.9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ht="20.100000000000001" customHeight="1" x14ac:dyDescent="0.25">
      <c r="A7" s="3"/>
      <c r="B7" s="3"/>
      <c r="C7" s="10" t="s">
        <v>87</v>
      </c>
      <c r="D7" s="9">
        <v>0.5</v>
      </c>
      <c r="E7" s="9">
        <v>0.8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ht="20.100000000000001" customHeight="1" x14ac:dyDescent="0.25">
      <c r="A8" s="3"/>
      <c r="B8" s="3"/>
      <c r="C8" s="10" t="s">
        <v>44</v>
      </c>
      <c r="D8" s="9">
        <v>0.05</v>
      </c>
      <c r="E8" s="9">
        <v>0.35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ht="20.100000000000001" customHeight="1" x14ac:dyDescent="0.25">
      <c r="A9" s="3"/>
      <c r="B9" s="3"/>
      <c r="C9" s="83" t="s">
        <v>3</v>
      </c>
      <c r="D9" s="84"/>
      <c r="E9" s="85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ht="20.100000000000001" customHeight="1" x14ac:dyDescent="0.25">
      <c r="A10" s="3"/>
      <c r="B10" s="3"/>
      <c r="C10" s="10" t="s">
        <v>81</v>
      </c>
      <c r="D10" s="9">
        <v>0.3</v>
      </c>
      <c r="E10" s="9">
        <v>0.8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ht="20.100000000000001" customHeight="1" x14ac:dyDescent="0.25">
      <c r="A11" s="3"/>
      <c r="B11" s="3"/>
      <c r="C11" s="10" t="s">
        <v>76</v>
      </c>
      <c r="D11" s="9">
        <v>0.4</v>
      </c>
      <c r="E11" s="9">
        <v>0.9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ht="20.100000000000001" customHeight="1" x14ac:dyDescent="0.25">
      <c r="A12" s="3"/>
      <c r="B12" s="3"/>
      <c r="C12" s="80" t="s">
        <v>4</v>
      </c>
      <c r="D12" s="81"/>
      <c r="E12" s="82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ht="20.100000000000001" customHeight="1" x14ac:dyDescent="0.25">
      <c r="A13" s="3"/>
      <c r="B13" s="3"/>
      <c r="C13" s="10" t="s">
        <v>29</v>
      </c>
      <c r="D13" s="9">
        <v>0.75</v>
      </c>
      <c r="E13" s="9">
        <v>0.95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20.100000000000001" customHeight="1" x14ac:dyDescent="0.25">
      <c r="A14" s="3"/>
      <c r="B14" s="3"/>
      <c r="C14" s="10" t="s">
        <v>68</v>
      </c>
      <c r="D14" s="9">
        <v>0.2</v>
      </c>
      <c r="E14" s="9">
        <v>0.75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ht="20.100000000000001" customHeight="1" x14ac:dyDescent="0.25">
      <c r="A15" s="3"/>
      <c r="B15" s="3"/>
      <c r="C15" s="80" t="s">
        <v>5</v>
      </c>
      <c r="D15" s="81"/>
      <c r="E15" s="82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20.100000000000001" customHeight="1" x14ac:dyDescent="0.25">
      <c r="A16" s="3"/>
      <c r="B16" s="3"/>
      <c r="C16" s="10" t="s">
        <v>51</v>
      </c>
      <c r="D16" s="9">
        <v>0.2</v>
      </c>
      <c r="E16" s="9">
        <v>0.7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20.100000000000001" customHeight="1" x14ac:dyDescent="0.25">
      <c r="A17" s="3"/>
      <c r="B17" s="3"/>
      <c r="C17" s="10" t="s">
        <v>89</v>
      </c>
      <c r="D17" s="9">
        <v>0.85</v>
      </c>
      <c r="E17" s="9">
        <v>0.97499999999999998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20.100000000000001" customHeight="1" x14ac:dyDescent="0.25">
      <c r="A18" s="3"/>
      <c r="B18" s="3"/>
      <c r="C18" s="80" t="s">
        <v>6</v>
      </c>
      <c r="D18" s="81"/>
      <c r="E18" s="82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20.100000000000001" customHeight="1" x14ac:dyDescent="0.25">
      <c r="A19" s="3"/>
      <c r="B19" s="3"/>
      <c r="C19" s="10" t="s">
        <v>82</v>
      </c>
      <c r="D19" s="9">
        <v>0.35</v>
      </c>
      <c r="E19" s="9">
        <v>0.8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30" x14ac:dyDescent="0.25">
      <c r="A20" s="3"/>
      <c r="B20" s="3"/>
      <c r="C20" s="16" t="s">
        <v>83</v>
      </c>
      <c r="D20" s="9">
        <v>0.15</v>
      </c>
      <c r="E20" s="9">
        <v>0.3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20.100000000000001" customHeight="1" x14ac:dyDescent="0.25">
      <c r="A21" s="3"/>
      <c r="B21" s="3"/>
      <c r="C21" s="80" t="s">
        <v>7</v>
      </c>
      <c r="D21" s="81"/>
      <c r="E21" s="82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20.100000000000001" customHeight="1" x14ac:dyDescent="0.25">
      <c r="A22" s="3"/>
      <c r="B22" s="3"/>
      <c r="C22" s="10" t="s">
        <v>66</v>
      </c>
      <c r="D22" s="9">
        <v>0.2</v>
      </c>
      <c r="E22" s="9">
        <v>0.7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30" x14ac:dyDescent="0.25">
      <c r="A23" s="3"/>
      <c r="B23" s="3"/>
      <c r="C23" s="16" t="s">
        <v>84</v>
      </c>
      <c r="D23" s="9">
        <v>0.4</v>
      </c>
      <c r="E23" s="9">
        <v>0.75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20.100000000000001" customHeight="1" x14ac:dyDescent="0.25">
      <c r="A24" s="3"/>
      <c r="B24" s="3"/>
      <c r="C24" s="80" t="s">
        <v>8</v>
      </c>
      <c r="D24" s="81"/>
      <c r="E24" s="82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30" x14ac:dyDescent="0.25">
      <c r="A25" s="3"/>
      <c r="B25" s="3"/>
      <c r="C25" s="16" t="s">
        <v>34</v>
      </c>
      <c r="D25" s="9">
        <v>0.2</v>
      </c>
      <c r="E25" s="9">
        <v>0.65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ht="27.75" customHeight="1" x14ac:dyDescent="0.25">
      <c r="A26" s="3"/>
      <c r="B26" s="3"/>
      <c r="C26" s="10" t="s">
        <v>45</v>
      </c>
      <c r="D26" s="9">
        <v>0.3</v>
      </c>
      <c r="E26" s="9">
        <v>0.75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</sheetData>
  <mergeCells count="6">
    <mergeCell ref="C24:E24"/>
    <mergeCell ref="C9:E9"/>
    <mergeCell ref="C12:E12"/>
    <mergeCell ref="C15:E15"/>
    <mergeCell ref="C18:E18"/>
    <mergeCell ref="C21:E2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10</xdr:col>
                <xdr:colOff>180975</xdr:colOff>
                <xdr:row>14</xdr:row>
                <xdr:rowOff>9525</xdr:rowOff>
              </from>
              <to>
                <xdr:col>13</xdr:col>
                <xdr:colOff>361950</xdr:colOff>
                <xdr:row>16</xdr:row>
                <xdr:rowOff>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D5E66-18DF-463A-B8D2-4D764C2E8C9F}">
  <sheetPr codeName="Sheet7"/>
  <dimension ref="A1:Y30"/>
  <sheetViews>
    <sheetView workbookViewId="0">
      <selection activeCell="D19" sqref="D19"/>
    </sheetView>
  </sheetViews>
  <sheetFormatPr defaultRowHeight="15" x14ac:dyDescent="0.25"/>
  <cols>
    <col min="3" max="3" width="10.85546875" bestFit="1" customWidth="1"/>
    <col min="4" max="4" width="26.7109375" bestFit="1" customWidth="1"/>
    <col min="5" max="6" width="20.7109375" customWidth="1"/>
  </cols>
  <sheetData>
    <row r="1" spans="1:25" x14ac:dyDescent="0.25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</row>
    <row r="2" spans="1:25" x14ac:dyDescent="0.25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</row>
    <row r="3" spans="1:2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x14ac:dyDescent="0.25">
      <c r="A6" s="3"/>
      <c r="B6" s="3"/>
      <c r="C6" s="13" t="s">
        <v>46</v>
      </c>
      <c r="D6" s="13" t="s">
        <v>23</v>
      </c>
      <c r="E6" s="15" t="s">
        <v>24</v>
      </c>
      <c r="F6" s="15" t="s">
        <v>25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ht="20.100000000000001" customHeight="1" x14ac:dyDescent="0.25">
      <c r="A7" s="3"/>
      <c r="B7" s="3"/>
      <c r="C7" s="90" t="s">
        <v>10</v>
      </c>
      <c r="D7" s="10" t="s">
        <v>53</v>
      </c>
      <c r="E7" s="9">
        <v>85000</v>
      </c>
      <c r="F7" s="9">
        <v>70000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ht="20.100000000000001" customHeight="1" x14ac:dyDescent="0.25">
      <c r="A8" s="3"/>
      <c r="B8" s="3"/>
      <c r="C8" s="91"/>
      <c r="D8" s="10" t="s">
        <v>52</v>
      </c>
      <c r="E8" s="9">
        <v>48</v>
      </c>
      <c r="F8" s="9">
        <v>36</v>
      </c>
      <c r="G8" s="3"/>
      <c r="H8" s="3" t="s">
        <v>47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ht="20.100000000000001" customHeight="1" x14ac:dyDescent="0.25">
      <c r="A9" s="3"/>
      <c r="B9" s="3"/>
      <c r="C9" s="92"/>
      <c r="D9" s="10" t="s">
        <v>54</v>
      </c>
      <c r="E9" s="9">
        <v>0.9</v>
      </c>
      <c r="F9" s="9">
        <v>0.98</v>
      </c>
      <c r="G9" s="3"/>
      <c r="H9" s="3" t="s">
        <v>48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ht="20.100000000000001" customHeight="1" x14ac:dyDescent="0.25">
      <c r="A10" s="3"/>
      <c r="B10" s="3"/>
      <c r="C10" s="87"/>
      <c r="D10" s="88"/>
      <c r="E10" s="88"/>
      <c r="F10" s="89"/>
      <c r="G10" s="3"/>
      <c r="H10" s="3" t="s">
        <v>49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ht="20.100000000000001" customHeight="1" x14ac:dyDescent="0.25">
      <c r="A11" s="3"/>
      <c r="B11" s="3"/>
      <c r="C11" s="93" t="s">
        <v>12</v>
      </c>
      <c r="D11" s="10" t="s">
        <v>55</v>
      </c>
      <c r="E11" s="9">
        <v>12000</v>
      </c>
      <c r="F11" s="9">
        <v>20000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ht="20.100000000000001" customHeight="1" x14ac:dyDescent="0.25">
      <c r="A12" s="3"/>
      <c r="B12" s="3"/>
      <c r="C12" s="94"/>
      <c r="D12" s="10" t="s">
        <v>56</v>
      </c>
      <c r="E12" s="9">
        <v>0.33</v>
      </c>
      <c r="F12" s="9">
        <v>0.2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ht="20.100000000000001" customHeight="1" x14ac:dyDescent="0.25">
      <c r="A13" s="3"/>
      <c r="B13" s="3"/>
      <c r="C13" s="95"/>
      <c r="D13" s="10" t="s">
        <v>57</v>
      </c>
      <c r="E13" s="9">
        <v>11000</v>
      </c>
      <c r="F13" s="9">
        <v>18000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20.100000000000001" customHeight="1" x14ac:dyDescent="0.25">
      <c r="A14" s="3"/>
      <c r="B14" s="3"/>
      <c r="C14" s="87"/>
      <c r="D14" s="88"/>
      <c r="E14" s="88"/>
      <c r="F14" s="89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ht="20.100000000000001" customHeight="1" x14ac:dyDescent="0.25">
      <c r="A15" s="3"/>
      <c r="B15" s="3"/>
      <c r="C15" s="90" t="s">
        <v>14</v>
      </c>
      <c r="D15" s="10" t="s">
        <v>36</v>
      </c>
      <c r="E15" s="9">
        <v>0.9</v>
      </c>
      <c r="F15" s="9">
        <v>0.95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20.100000000000001" customHeight="1" x14ac:dyDescent="0.25">
      <c r="A16" s="3"/>
      <c r="B16" s="3"/>
      <c r="C16" s="91"/>
      <c r="D16" s="10" t="s">
        <v>37</v>
      </c>
      <c r="E16" s="9">
        <v>0.1</v>
      </c>
      <c r="F16" s="9">
        <v>0.05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20.100000000000001" customHeight="1" x14ac:dyDescent="0.25">
      <c r="A17" s="3"/>
      <c r="B17" s="3"/>
      <c r="C17" s="92"/>
      <c r="D17" s="10" t="s">
        <v>38</v>
      </c>
      <c r="E17" s="9">
        <v>0.875</v>
      </c>
      <c r="F17" s="9">
        <v>0.92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20.100000000000001" customHeight="1" x14ac:dyDescent="0.25">
      <c r="A18" s="3"/>
      <c r="B18" s="3"/>
      <c r="C18" s="87"/>
      <c r="D18" s="88"/>
      <c r="E18" s="88"/>
      <c r="F18" s="89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20.100000000000001" customHeight="1" x14ac:dyDescent="0.25">
      <c r="A19" s="3"/>
      <c r="B19" s="3"/>
      <c r="C19" s="90" t="s">
        <v>15</v>
      </c>
      <c r="D19" s="10" t="s">
        <v>39</v>
      </c>
      <c r="E19" s="9">
        <v>0.3</v>
      </c>
      <c r="F19" s="9">
        <v>0.8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20.100000000000001" customHeight="1" x14ac:dyDescent="0.25">
      <c r="A20" s="3"/>
      <c r="B20" s="3"/>
      <c r="C20" s="91"/>
      <c r="D20" s="10" t="s">
        <v>40</v>
      </c>
      <c r="E20" s="9">
        <v>0.6</v>
      </c>
      <c r="F20" s="9">
        <v>0.9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20.100000000000001" customHeight="1" x14ac:dyDescent="0.25">
      <c r="A21" s="3"/>
      <c r="B21" s="3"/>
      <c r="C21" s="92"/>
      <c r="D21" s="10" t="s">
        <v>41</v>
      </c>
      <c r="E21" s="9">
        <v>0.8</v>
      </c>
      <c r="F21" s="9">
        <v>0.9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20.100000000000001" customHeight="1" x14ac:dyDescent="0.25">
      <c r="A22" s="3"/>
      <c r="B22" s="3"/>
      <c r="C22" s="87"/>
      <c r="D22" s="88"/>
      <c r="E22" s="88"/>
      <c r="F22" s="89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20.100000000000001" customHeight="1" x14ac:dyDescent="0.25">
      <c r="A23" s="3"/>
      <c r="B23" s="3"/>
      <c r="C23" s="93" t="s">
        <v>17</v>
      </c>
      <c r="D23" s="10" t="s">
        <v>58</v>
      </c>
      <c r="E23" s="9">
        <v>4</v>
      </c>
      <c r="F23" s="9">
        <v>1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20.100000000000001" customHeight="1" x14ac:dyDescent="0.25">
      <c r="A24" s="3"/>
      <c r="B24" s="3"/>
      <c r="C24" s="94"/>
      <c r="D24" s="10" t="s">
        <v>43</v>
      </c>
      <c r="E24" s="9">
        <v>0.5</v>
      </c>
      <c r="F24" s="9">
        <v>0.2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20.100000000000001" customHeight="1" x14ac:dyDescent="0.25">
      <c r="A25" s="3"/>
      <c r="B25" s="3"/>
      <c r="C25" s="95"/>
      <c r="D25" s="10" t="s">
        <v>44</v>
      </c>
      <c r="E25" s="9">
        <v>0.05</v>
      </c>
      <c r="F25" s="9">
        <v>0.35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2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</row>
    <row r="30" spans="1:25" x14ac:dyDescent="0.2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</row>
  </sheetData>
  <mergeCells count="11">
    <mergeCell ref="A1:Y2"/>
    <mergeCell ref="A29:Y30"/>
    <mergeCell ref="C18:F18"/>
    <mergeCell ref="C14:F14"/>
    <mergeCell ref="C10:F10"/>
    <mergeCell ref="C7:C9"/>
    <mergeCell ref="C11:C13"/>
    <mergeCell ref="C15:C17"/>
    <mergeCell ref="C19:C21"/>
    <mergeCell ref="C23:C25"/>
    <mergeCell ref="C22:F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76F9B-DE29-4CB1-8DAC-459A044D759B}">
  <sheetPr codeName="Sheet8"/>
  <dimension ref="A1:L35"/>
  <sheetViews>
    <sheetView workbookViewId="0"/>
  </sheetViews>
  <sheetFormatPr defaultRowHeight="15" x14ac:dyDescent="0.25"/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7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L3" s="1"/>
    </row>
    <row r="4" spans="1:12" x14ac:dyDescent="0.25">
      <c r="L4" s="1"/>
    </row>
    <row r="5" spans="1:12" x14ac:dyDescent="0.25">
      <c r="L5" s="1"/>
    </row>
    <row r="6" spans="1:12" x14ac:dyDescent="0.25">
      <c r="L6" s="1"/>
    </row>
    <row r="7" spans="1:12" x14ac:dyDescent="0.25">
      <c r="L7" s="1"/>
    </row>
    <row r="8" spans="1:12" x14ac:dyDescent="0.25">
      <c r="L8" s="1"/>
    </row>
    <row r="9" spans="1:12" x14ac:dyDescent="0.25">
      <c r="L9" s="1"/>
    </row>
    <row r="10" spans="1:12" x14ac:dyDescent="0.25">
      <c r="L10" s="1"/>
    </row>
    <row r="11" spans="1:12" x14ac:dyDescent="0.25">
      <c r="L11" s="1"/>
    </row>
    <row r="12" spans="1:12" x14ac:dyDescent="0.25">
      <c r="L12" s="1"/>
    </row>
    <row r="13" spans="1:12" x14ac:dyDescent="0.25">
      <c r="L13" s="1"/>
    </row>
    <row r="14" spans="1:12" x14ac:dyDescent="0.25">
      <c r="L14" s="1"/>
    </row>
    <row r="15" spans="1:12" x14ac:dyDescent="0.25">
      <c r="L15" s="1"/>
    </row>
    <row r="16" spans="1:12" x14ac:dyDescent="0.25">
      <c r="L16" s="1"/>
    </row>
    <row r="17" spans="12:12" x14ac:dyDescent="0.25">
      <c r="L17" s="1"/>
    </row>
    <row r="18" spans="12:12" x14ac:dyDescent="0.25">
      <c r="L18" s="1"/>
    </row>
    <row r="19" spans="12:12" x14ac:dyDescent="0.25">
      <c r="L19" s="1"/>
    </row>
    <row r="20" spans="12:12" x14ac:dyDescent="0.25">
      <c r="L20" s="1"/>
    </row>
    <row r="21" spans="12:12" x14ac:dyDescent="0.25">
      <c r="L21" s="1"/>
    </row>
    <row r="22" spans="12:12" x14ac:dyDescent="0.25">
      <c r="L22" s="1"/>
    </row>
    <row r="23" spans="12:12" x14ac:dyDescent="0.25">
      <c r="L23" s="1"/>
    </row>
    <row r="24" spans="12:12" x14ac:dyDescent="0.25">
      <c r="L24" s="1"/>
    </row>
    <row r="25" spans="12:12" x14ac:dyDescent="0.25">
      <c r="L25" s="1"/>
    </row>
    <row r="26" spans="12:12" x14ac:dyDescent="0.25">
      <c r="L26" s="1"/>
    </row>
    <row r="27" spans="12:12" x14ac:dyDescent="0.25">
      <c r="L27" s="1"/>
    </row>
    <row r="28" spans="12:12" x14ac:dyDescent="0.25">
      <c r="L28" s="1"/>
    </row>
    <row r="29" spans="12:12" x14ac:dyDescent="0.25">
      <c r="L29" s="1"/>
    </row>
    <row r="30" spans="12:12" x14ac:dyDescent="0.25">
      <c r="L30" s="1"/>
    </row>
    <row r="31" spans="12:12" x14ac:dyDescent="0.25">
      <c r="L31" s="1"/>
    </row>
    <row r="32" spans="12:12" x14ac:dyDescent="0.25">
      <c r="L32" s="1"/>
    </row>
    <row r="33" spans="1:12" x14ac:dyDescent="0.25"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c930a07-50d7-448b-a716-cad46133b2d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7BF64EEB4B2F40BD1632AB9F0538D0" ma:contentTypeVersion="12" ma:contentTypeDescription="Create a new document." ma:contentTypeScope="" ma:versionID="46aedc2f58f83af060c7126413f73c8b">
  <xsd:schema xmlns:xsd="http://www.w3.org/2001/XMLSchema" xmlns:xs="http://www.w3.org/2001/XMLSchema" xmlns:p="http://schemas.microsoft.com/office/2006/metadata/properties" xmlns:ns3="2c930a07-50d7-448b-a716-cad46133b2df" xmlns:ns4="c4a53495-70ab-4536-b1e1-0b0ecd8b0e77" targetNamespace="http://schemas.microsoft.com/office/2006/metadata/properties" ma:root="true" ma:fieldsID="17c313d017ff5c129caacf3c557838cb" ns3:_="" ns4:_="">
    <xsd:import namespace="2c930a07-50d7-448b-a716-cad46133b2df"/>
    <xsd:import namespace="c4a53495-70ab-4536-b1e1-0b0ecd8b0e7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930a07-50d7-448b-a716-cad46133b2d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a53495-70ab-4536-b1e1-0b0ecd8b0e7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386FE81E-F5B7-4418-B38E-06BDF847678B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60E1AFCF-9B6A-4668-A53B-0FB7D045EC6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2c930a07-50d7-448b-a716-cad46133b2df"/>
    <ds:schemaRef ds:uri="c4a53495-70ab-4536-b1e1-0b0ecd8b0e77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732488-4058-4547-B0E3-4231780482B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D46C83F-807F-4B6A-A9B9-BDA2E43B49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930a07-50d7-448b-a716-cad46133b2df"/>
    <ds:schemaRef ds:uri="c4a53495-70ab-4536-b1e1-0b0ecd8b0e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09DD388E-3493-4903-84F9-E2A1B9F78C55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Hub</vt:lpstr>
      <vt:lpstr>Inbound Logistics</vt:lpstr>
      <vt:lpstr>Operations</vt:lpstr>
      <vt:lpstr>Outbound Logistics</vt:lpstr>
      <vt:lpstr>Marketing &amp; Sales</vt:lpstr>
      <vt:lpstr>Service</vt:lpstr>
      <vt:lpstr>KPI's</vt:lpstr>
      <vt:lpstr>Readme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Eoghan O'Leary</dc:creator>
  <cp:keywords/>
  <dc:description/>
  <cp:lastModifiedBy>Eoghan O'Leary</cp:lastModifiedBy>
  <cp:revision/>
  <dcterms:created xsi:type="dcterms:W3CDTF">2023-12-18T17:21:22Z</dcterms:created>
  <dcterms:modified xsi:type="dcterms:W3CDTF">2023-12-31T20:48:18Z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0x0101000A7BF64EEB4B2F40BD1632AB9F0538D0</vt:lpwstr>
  </property>
</Properties>
</file>